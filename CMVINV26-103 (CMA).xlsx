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Z:\BOI\4.IMPORT2026\8_1269_CMVINV26-103\"/>
    </mc:Choice>
  </mc:AlternateContent>
  <xr:revisionPtr revIDLastSave="0" documentId="13_ncr:1_{95A18847-96FD-4614-BC9F-906528501923}" xr6:coauthVersionLast="47" xr6:coauthVersionMax="47" xr10:uidLastSave="{00000000-0000-0000-0000-000000000000}"/>
  <bookViews>
    <workbookView xWindow="-108" yWindow="-108" windowWidth="23256" windowHeight="12456" tabRatio="561" firstSheet="2" activeTab="2" xr2:uid="{00000000-000D-0000-FFFF-FFFF00000000}"/>
  </bookViews>
  <sheets>
    <sheet name="PO" sheetId="8" state="hidden" r:id="rId1"/>
    <sheet name="CMV" sheetId="15" state="hidden" r:id="rId2"/>
    <sheet name="IV" sheetId="9" r:id="rId3"/>
    <sheet name="PL" sheetId="12" r:id="rId4"/>
    <sheet name="VGM" sheetId="13" state="hidden" r:id="rId5"/>
    <sheet name="Sheet2" sheetId="14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1" hidden="1">CMV!$B$2:$H$164</definedName>
    <definedName name="_xlnm._FilterDatabase" localSheetId="3" hidden="1">PL!$A$18:$V$43</definedName>
    <definedName name="_xlnm._FilterDatabase" localSheetId="0" hidden="1">PO!$A$24:$Z$122</definedName>
    <definedName name="_Sort" hidden="1">#REF!</definedName>
    <definedName name="BED_FOR_L20E" localSheetId="0">PO!#REF!</definedName>
    <definedName name="CMAcode">[1]CMA!#REF!</definedName>
    <definedName name="Code">[2]CMA!$A:$A</definedName>
    <definedName name="CodeE">IF(PO!$B1="","",VLOOKUP(PO!$B1,[2]CMA!$A:$N,3,0))</definedName>
    <definedName name="CodeNo">IF(PO!$B1="","",VLOOKUP(PO!$B1,[2]CMA!$A:$N,2,0))</definedName>
    <definedName name="CodePL">[2]CMA!$B$5:$B$1115</definedName>
    <definedName name="Criteria2">#REF!</definedName>
    <definedName name="Criteria7">#REF!</definedName>
    <definedName name="Database2">#REF!</definedName>
    <definedName name="Model" localSheetId="0">IF(PO!$C1="","",VLOOKUP(PO!$C1,'[3]CMA items'!$B:$E,2,0))</definedName>
    <definedName name="Name" localSheetId="0">IF(PO!$B1="","",VLOOKUP(PO!$B1,'[4]CMA items'!$B:$E,3,0))</definedName>
    <definedName name="PriceJ">IF(PO!$B1="","",VLOOKUP(PO!$B1,[2]CMA!$A:$N,8,0))</definedName>
    <definedName name="PriceU">IF(PO!$B1="","",VLOOKUP(PO!$B1,[2]CMA!$A:$N,9,0))</definedName>
    <definedName name="_xlnm.Print_Area" localSheetId="2">IV!$A$1:$I$91</definedName>
    <definedName name="_xlnm.Print_Area" localSheetId="3">PL!$A$1:$J$98</definedName>
    <definedName name="_xlnm.Print_Area" localSheetId="0">PO!$A$1:$I$103</definedName>
    <definedName name="_xlnm.Print_Area" localSheetId="4">VGM!$A$1:$L$26</definedName>
    <definedName name="_xlnm.Print_Area">#REF!</definedName>
    <definedName name="PRINT_AREA_MI">#REF!</definedName>
    <definedName name="_xlnm.Print_Titles" localSheetId="2">IV!$1:$20</definedName>
    <definedName name="_xlnm.Print_Titles" localSheetId="3">PL!$1:$18</definedName>
    <definedName name="_xlnm.Print_Titles" localSheetId="0">PO!$1:$24</definedName>
    <definedName name="_xlnm.Print_Titles">#REF!</definedName>
    <definedName name="WT" localSheetId="0">IF(PO!$C1="","",VLOOKUP(PO!$C1,'[3]CMA items'!$B:$E,4,0))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4" i="12" l="1"/>
  <c r="G43" i="12"/>
  <c r="G33" i="12"/>
  <c r="L103" i="15"/>
  <c r="L104" i="15"/>
  <c r="L105" i="15"/>
  <c r="L106" i="15"/>
  <c r="M106" i="15" s="1"/>
  <c r="L107" i="15"/>
  <c r="L108" i="15"/>
  <c r="N108" i="15" s="1"/>
  <c r="L109" i="15"/>
  <c r="L110" i="15"/>
  <c r="L111" i="15"/>
  <c r="L112" i="15"/>
  <c r="M112" i="15" s="1"/>
  <c r="L113" i="15"/>
  <c r="L114" i="15"/>
  <c r="N114" i="15" s="1"/>
  <c r="L115" i="15"/>
  <c r="L116" i="15"/>
  <c r="L117" i="15"/>
  <c r="L118" i="15"/>
  <c r="M118" i="15" s="1"/>
  <c r="L119" i="15"/>
  <c r="N119" i="15" s="1"/>
  <c r="L120" i="15"/>
  <c r="N120" i="15" s="1"/>
  <c r="L121" i="15"/>
  <c r="L122" i="15"/>
  <c r="L123" i="15"/>
  <c r="L124" i="15"/>
  <c r="M124" i="15" s="1"/>
  <c r="M103" i="15"/>
  <c r="M104" i="15"/>
  <c r="M105" i="15"/>
  <c r="M107" i="15"/>
  <c r="M109" i="15"/>
  <c r="M110" i="15"/>
  <c r="M111" i="15"/>
  <c r="M113" i="15"/>
  <c r="M115" i="15"/>
  <c r="M116" i="15"/>
  <c r="M117" i="15"/>
  <c r="M121" i="15"/>
  <c r="M122" i="15"/>
  <c r="M123" i="15"/>
  <c r="N103" i="15"/>
  <c r="N104" i="15"/>
  <c r="N105" i="15"/>
  <c r="N106" i="15"/>
  <c r="N107" i="15"/>
  <c r="N109" i="15"/>
  <c r="N110" i="15"/>
  <c r="N111" i="15"/>
  <c r="N112" i="15"/>
  <c r="N113" i="15"/>
  <c r="N115" i="15"/>
  <c r="N116" i="15"/>
  <c r="N117" i="15"/>
  <c r="N121" i="15"/>
  <c r="N122" i="15"/>
  <c r="N123" i="15"/>
  <c r="N124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L83" i="15"/>
  <c r="L84" i="15"/>
  <c r="L85" i="15"/>
  <c r="M85" i="15" s="1"/>
  <c r="L86" i="15"/>
  <c r="N86" i="15" s="1"/>
  <c r="L87" i="15"/>
  <c r="L88" i="15"/>
  <c r="M88" i="15" s="1"/>
  <c r="L89" i="15"/>
  <c r="L90" i="15"/>
  <c r="L91" i="15"/>
  <c r="M91" i="15" s="1"/>
  <c r="L92" i="15"/>
  <c r="N92" i="15" s="1"/>
  <c r="L93" i="15"/>
  <c r="L94" i="15"/>
  <c r="M94" i="15" s="1"/>
  <c r="L95" i="15"/>
  <c r="M95" i="15" s="1"/>
  <c r="L96" i="15"/>
  <c r="L97" i="15"/>
  <c r="M97" i="15" s="1"/>
  <c r="L98" i="15"/>
  <c r="N98" i="15" s="1"/>
  <c r="L99" i="15"/>
  <c r="L100" i="15"/>
  <c r="M100" i="15" s="1"/>
  <c r="L101" i="15"/>
  <c r="M101" i="15" s="1"/>
  <c r="L102" i="15"/>
  <c r="M83" i="15"/>
  <c r="M84" i="15"/>
  <c r="M86" i="15"/>
  <c r="M87" i="15"/>
  <c r="M89" i="15"/>
  <c r="M90" i="15"/>
  <c r="M92" i="15"/>
  <c r="M93" i="15"/>
  <c r="M96" i="15"/>
  <c r="M99" i="15"/>
  <c r="M102" i="15"/>
  <c r="N83" i="15"/>
  <c r="N84" i="15"/>
  <c r="N85" i="15"/>
  <c r="N87" i="15"/>
  <c r="N88" i="15"/>
  <c r="N89" i="15"/>
  <c r="N90" i="15"/>
  <c r="N91" i="15"/>
  <c r="N93" i="15"/>
  <c r="N94" i="15"/>
  <c r="N96" i="15"/>
  <c r="N97" i="15"/>
  <c r="N99" i="15"/>
  <c r="N100" i="15"/>
  <c r="N10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L74" i="15"/>
  <c r="L75" i="15"/>
  <c r="L76" i="15"/>
  <c r="L77" i="15"/>
  <c r="L78" i="15"/>
  <c r="M78" i="15" s="1"/>
  <c r="L79" i="15"/>
  <c r="N79" i="15" s="1"/>
  <c r="L80" i="15"/>
  <c r="L81" i="15"/>
  <c r="L82" i="15"/>
  <c r="M74" i="15"/>
  <c r="M75" i="15"/>
  <c r="M76" i="15"/>
  <c r="M77" i="15"/>
  <c r="M80" i="15"/>
  <c r="M81" i="15"/>
  <c r="M82" i="15"/>
  <c r="N74" i="15"/>
  <c r="N75" i="15"/>
  <c r="N76" i="15"/>
  <c r="N77" i="15"/>
  <c r="N80" i="15"/>
  <c r="N81" i="15"/>
  <c r="N82" i="15"/>
  <c r="O74" i="15"/>
  <c r="O75" i="15"/>
  <c r="O76" i="15"/>
  <c r="O77" i="15"/>
  <c r="O78" i="15"/>
  <c r="O79" i="15"/>
  <c r="O80" i="15"/>
  <c r="O81" i="15"/>
  <c r="O82" i="15"/>
  <c r="L60" i="15"/>
  <c r="L61" i="15"/>
  <c r="M61" i="15" s="1"/>
  <c r="L62" i="15"/>
  <c r="L63" i="15"/>
  <c r="L64" i="15"/>
  <c r="M64" i="15" s="1"/>
  <c r="L65" i="15"/>
  <c r="M65" i="15" s="1"/>
  <c r="L66" i="15"/>
  <c r="L67" i="15"/>
  <c r="M67" i="15" s="1"/>
  <c r="L68" i="15"/>
  <c r="L69" i="15"/>
  <c r="L70" i="15"/>
  <c r="M70" i="15" s="1"/>
  <c r="L71" i="15"/>
  <c r="M71" i="15" s="1"/>
  <c r="L72" i="15"/>
  <c r="L73" i="15"/>
  <c r="M73" i="15" s="1"/>
  <c r="M60" i="15"/>
  <c r="M62" i="15"/>
  <c r="M63" i="15"/>
  <c r="M66" i="15"/>
  <c r="M68" i="15"/>
  <c r="M69" i="15"/>
  <c r="M72" i="15"/>
  <c r="N60" i="15"/>
  <c r="N61" i="15"/>
  <c r="N62" i="15"/>
  <c r="N63" i="15"/>
  <c r="N66" i="15"/>
  <c r="N67" i="15"/>
  <c r="N68" i="15"/>
  <c r="N69" i="15"/>
  <c r="N72" i="15"/>
  <c r="N73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L33" i="15"/>
  <c r="L34" i="15"/>
  <c r="L35" i="15"/>
  <c r="L36" i="15"/>
  <c r="L37" i="15"/>
  <c r="L38" i="15"/>
  <c r="M38" i="15" s="1"/>
  <c r="L39" i="15"/>
  <c r="L40" i="15"/>
  <c r="L41" i="15"/>
  <c r="L42" i="15"/>
  <c r="L43" i="15"/>
  <c r="L44" i="15"/>
  <c r="M44" i="15" s="1"/>
  <c r="L45" i="15"/>
  <c r="L46" i="15"/>
  <c r="L47" i="15"/>
  <c r="L48" i="15"/>
  <c r="L49" i="15"/>
  <c r="L50" i="15"/>
  <c r="M50" i="15" s="1"/>
  <c r="L51" i="15"/>
  <c r="L52" i="15"/>
  <c r="L53" i="15"/>
  <c r="N53" i="15" s="1"/>
  <c r="L54" i="15"/>
  <c r="N54" i="15" s="1"/>
  <c r="L55" i="15"/>
  <c r="L56" i="15"/>
  <c r="M56" i="15" s="1"/>
  <c r="L57" i="15"/>
  <c r="L58" i="15"/>
  <c r="L59" i="15"/>
  <c r="M33" i="15"/>
  <c r="M34" i="15"/>
  <c r="M35" i="15"/>
  <c r="M36" i="15"/>
  <c r="M37" i="15"/>
  <c r="M39" i="15"/>
  <c r="M40" i="15"/>
  <c r="M41" i="15"/>
  <c r="M42" i="15"/>
  <c r="M43" i="15"/>
  <c r="M45" i="15"/>
  <c r="M46" i="15"/>
  <c r="M47" i="15"/>
  <c r="M48" i="15"/>
  <c r="M49" i="15"/>
  <c r="M51" i="15"/>
  <c r="M52" i="15"/>
  <c r="M55" i="15"/>
  <c r="M57" i="15"/>
  <c r="M58" i="15"/>
  <c r="M59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5" i="15"/>
  <c r="N56" i="15"/>
  <c r="N57" i="15"/>
  <c r="N58" i="15"/>
  <c r="N59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G164" i="15"/>
  <c r="F164" i="15"/>
  <c r="E164" i="15"/>
  <c r="G163" i="15"/>
  <c r="F163" i="15"/>
  <c r="E163" i="15"/>
  <c r="G162" i="15"/>
  <c r="F162" i="15"/>
  <c r="E162" i="15"/>
  <c r="G161" i="15"/>
  <c r="F161" i="15"/>
  <c r="E161" i="15"/>
  <c r="G160" i="15"/>
  <c r="F160" i="15"/>
  <c r="E160" i="15"/>
  <c r="G159" i="15"/>
  <c r="F159" i="15"/>
  <c r="E159" i="15"/>
  <c r="G158" i="15"/>
  <c r="F158" i="15"/>
  <c r="E158" i="15"/>
  <c r="G157" i="15"/>
  <c r="F157" i="15"/>
  <c r="E157" i="15"/>
  <c r="G156" i="15"/>
  <c r="F156" i="15"/>
  <c r="E156" i="15"/>
  <c r="G155" i="15"/>
  <c r="F155" i="15"/>
  <c r="E155" i="15"/>
  <c r="G154" i="15"/>
  <c r="F154" i="15"/>
  <c r="E154" i="15"/>
  <c r="G153" i="15"/>
  <c r="F153" i="15"/>
  <c r="E153" i="15"/>
  <c r="G152" i="15"/>
  <c r="F152" i="15"/>
  <c r="E152" i="15"/>
  <c r="G151" i="15"/>
  <c r="F151" i="15"/>
  <c r="E151" i="15"/>
  <c r="G150" i="15"/>
  <c r="F150" i="15"/>
  <c r="E150" i="15"/>
  <c r="G149" i="15"/>
  <c r="F149" i="15"/>
  <c r="E149" i="15"/>
  <c r="G148" i="15"/>
  <c r="F148" i="15"/>
  <c r="E148" i="15"/>
  <c r="G147" i="15"/>
  <c r="F147" i="15"/>
  <c r="E147" i="15"/>
  <c r="G146" i="15"/>
  <c r="F146" i="15"/>
  <c r="E146" i="15"/>
  <c r="G145" i="15"/>
  <c r="F145" i="15"/>
  <c r="E145" i="15"/>
  <c r="G144" i="15"/>
  <c r="F144" i="15"/>
  <c r="E144" i="15"/>
  <c r="G143" i="15"/>
  <c r="F143" i="15"/>
  <c r="E143" i="15"/>
  <c r="G142" i="15"/>
  <c r="F142" i="15"/>
  <c r="E142" i="15"/>
  <c r="G141" i="15"/>
  <c r="F141" i="15"/>
  <c r="E141" i="15"/>
  <c r="G140" i="15"/>
  <c r="F140" i="15"/>
  <c r="E140" i="15"/>
  <c r="G139" i="15"/>
  <c r="F139" i="15"/>
  <c r="E139" i="15"/>
  <c r="G138" i="15"/>
  <c r="F138" i="15"/>
  <c r="E138" i="15"/>
  <c r="G137" i="15"/>
  <c r="F137" i="15"/>
  <c r="E137" i="15"/>
  <c r="G136" i="15"/>
  <c r="F136" i="15"/>
  <c r="E136" i="15"/>
  <c r="G135" i="15"/>
  <c r="F135" i="15"/>
  <c r="E135" i="15"/>
  <c r="G134" i="15"/>
  <c r="F134" i="15"/>
  <c r="E134" i="15"/>
  <c r="G133" i="15"/>
  <c r="F133" i="15"/>
  <c r="E133" i="15"/>
  <c r="G132" i="15"/>
  <c r="F132" i="15"/>
  <c r="E132" i="15"/>
  <c r="G131" i="15"/>
  <c r="F131" i="15"/>
  <c r="E131" i="15"/>
  <c r="G130" i="15"/>
  <c r="F130" i="15"/>
  <c r="E130" i="15"/>
  <c r="G129" i="15"/>
  <c r="F129" i="15"/>
  <c r="E129" i="15"/>
  <c r="G128" i="15"/>
  <c r="F128" i="15"/>
  <c r="E128" i="15"/>
  <c r="G127" i="15"/>
  <c r="F127" i="15"/>
  <c r="E127" i="15"/>
  <c r="G126" i="15"/>
  <c r="F126" i="15"/>
  <c r="E126" i="15"/>
  <c r="G125" i="15"/>
  <c r="F125" i="15"/>
  <c r="E125" i="15"/>
  <c r="G124" i="15"/>
  <c r="F124" i="15"/>
  <c r="E124" i="15"/>
  <c r="G123" i="15"/>
  <c r="F123" i="15"/>
  <c r="E123" i="15"/>
  <c r="G122" i="15"/>
  <c r="F122" i="15"/>
  <c r="E122" i="15"/>
  <c r="G121" i="15"/>
  <c r="F121" i="15"/>
  <c r="E121" i="15"/>
  <c r="G120" i="15"/>
  <c r="F120" i="15"/>
  <c r="E120" i="15"/>
  <c r="G119" i="15"/>
  <c r="F119" i="15"/>
  <c r="E119" i="15"/>
  <c r="G118" i="15"/>
  <c r="F118" i="15"/>
  <c r="E118" i="15"/>
  <c r="G117" i="15"/>
  <c r="F117" i="15"/>
  <c r="E117" i="15"/>
  <c r="G116" i="15"/>
  <c r="F116" i="15"/>
  <c r="E116" i="15"/>
  <c r="G115" i="15"/>
  <c r="F115" i="15"/>
  <c r="E115" i="15"/>
  <c r="G114" i="15"/>
  <c r="F114" i="15"/>
  <c r="E114" i="15"/>
  <c r="G113" i="15"/>
  <c r="F113" i="15"/>
  <c r="E113" i="15"/>
  <c r="G112" i="15"/>
  <c r="F112" i="15"/>
  <c r="E112" i="15"/>
  <c r="G111" i="15"/>
  <c r="F111" i="15"/>
  <c r="E111" i="15"/>
  <c r="G110" i="15"/>
  <c r="F110" i="15"/>
  <c r="E110" i="15"/>
  <c r="G109" i="15"/>
  <c r="F109" i="15"/>
  <c r="E109" i="15"/>
  <c r="G108" i="15"/>
  <c r="F108" i="15"/>
  <c r="E108" i="15"/>
  <c r="G107" i="15"/>
  <c r="F107" i="15"/>
  <c r="E107" i="15"/>
  <c r="G106" i="15"/>
  <c r="F106" i="15"/>
  <c r="E106" i="15"/>
  <c r="G105" i="15"/>
  <c r="F105" i="15"/>
  <c r="E105" i="15"/>
  <c r="G104" i="15"/>
  <c r="F104" i="15"/>
  <c r="E104" i="15"/>
  <c r="G103" i="15"/>
  <c r="F103" i="15"/>
  <c r="E103" i="15"/>
  <c r="G102" i="15"/>
  <c r="F102" i="15"/>
  <c r="E102" i="15"/>
  <c r="G101" i="15"/>
  <c r="D101" i="15"/>
  <c r="F101" i="15" s="1"/>
  <c r="G100" i="15"/>
  <c r="F100" i="15"/>
  <c r="E100" i="15"/>
  <c r="D99" i="15"/>
  <c r="G99" i="15" s="1"/>
  <c r="G98" i="15"/>
  <c r="F98" i="15"/>
  <c r="E98" i="15"/>
  <c r="G97" i="15"/>
  <c r="F97" i="15"/>
  <c r="E97" i="15"/>
  <c r="G96" i="15"/>
  <c r="F96" i="15"/>
  <c r="E96" i="15"/>
  <c r="G95" i="15"/>
  <c r="F95" i="15"/>
  <c r="E95" i="15"/>
  <c r="G94" i="15"/>
  <c r="F94" i="15"/>
  <c r="E94" i="15"/>
  <c r="G93" i="15"/>
  <c r="F93" i="15"/>
  <c r="E93" i="15"/>
  <c r="G92" i="15"/>
  <c r="F92" i="15"/>
  <c r="E92" i="15"/>
  <c r="G91" i="15"/>
  <c r="F91" i="15"/>
  <c r="E91" i="15"/>
  <c r="G90" i="15"/>
  <c r="F90" i="15"/>
  <c r="E90" i="15"/>
  <c r="G89" i="15"/>
  <c r="F89" i="15"/>
  <c r="E89" i="15"/>
  <c r="G88" i="15"/>
  <c r="F88" i="15"/>
  <c r="E88" i="15"/>
  <c r="G87" i="15"/>
  <c r="F87" i="15"/>
  <c r="E87" i="15"/>
  <c r="G86" i="15"/>
  <c r="F86" i="15"/>
  <c r="E86" i="15"/>
  <c r="G85" i="15"/>
  <c r="F85" i="15"/>
  <c r="E85" i="15"/>
  <c r="G84" i="15"/>
  <c r="F84" i="15"/>
  <c r="E84" i="15"/>
  <c r="G83" i="15"/>
  <c r="F83" i="15"/>
  <c r="E83" i="15"/>
  <c r="G82" i="15"/>
  <c r="F82" i="15"/>
  <c r="E82" i="15"/>
  <c r="G81" i="15"/>
  <c r="F81" i="15"/>
  <c r="E81" i="15"/>
  <c r="G80" i="15"/>
  <c r="F80" i="15"/>
  <c r="E80" i="15"/>
  <c r="D80" i="15"/>
  <c r="G79" i="15"/>
  <c r="F79" i="15"/>
  <c r="E79" i="15"/>
  <c r="G78" i="15"/>
  <c r="F78" i="15"/>
  <c r="E78" i="15"/>
  <c r="G77" i="15"/>
  <c r="F77" i="15"/>
  <c r="E77" i="15"/>
  <c r="G76" i="15"/>
  <c r="F76" i="15"/>
  <c r="E76" i="15"/>
  <c r="G75" i="15"/>
  <c r="F75" i="15"/>
  <c r="E75" i="15"/>
  <c r="G74" i="15"/>
  <c r="D74" i="15"/>
  <c r="F74" i="15" s="1"/>
  <c r="G73" i="15"/>
  <c r="F73" i="15"/>
  <c r="E73" i="15"/>
  <c r="D72" i="15"/>
  <c r="G72" i="15" s="1"/>
  <c r="G71" i="15"/>
  <c r="F71" i="15"/>
  <c r="E71" i="15"/>
  <c r="D71" i="15"/>
  <c r="G70" i="15"/>
  <c r="F70" i="15"/>
  <c r="E70" i="15"/>
  <c r="G68" i="15"/>
  <c r="D68" i="15"/>
  <c r="F68" i="15" s="1"/>
  <c r="G67" i="15"/>
  <c r="F67" i="15"/>
  <c r="E67" i="15"/>
  <c r="G66" i="15"/>
  <c r="F66" i="15"/>
  <c r="E66" i="15"/>
  <c r="G65" i="15"/>
  <c r="F65" i="15"/>
  <c r="E65" i="15"/>
  <c r="G64" i="15"/>
  <c r="F64" i="15"/>
  <c r="E64" i="15"/>
  <c r="G63" i="15"/>
  <c r="F63" i="15"/>
  <c r="E63" i="15"/>
  <c r="G62" i="15"/>
  <c r="F62" i="15"/>
  <c r="E62" i="15"/>
  <c r="G61" i="15"/>
  <c r="F61" i="15"/>
  <c r="E61" i="15"/>
  <c r="D61" i="15"/>
  <c r="G60" i="15"/>
  <c r="F60" i="15"/>
  <c r="E60" i="15"/>
  <c r="G59" i="15"/>
  <c r="F59" i="15"/>
  <c r="E59" i="15"/>
  <c r="D59" i="15"/>
  <c r="G58" i="15"/>
  <c r="F58" i="15"/>
  <c r="E58" i="15"/>
  <c r="G57" i="15"/>
  <c r="F57" i="15"/>
  <c r="E57" i="15"/>
  <c r="D56" i="15"/>
  <c r="G56" i="15" s="1"/>
  <c r="G55" i="15"/>
  <c r="F55" i="15"/>
  <c r="E55" i="15"/>
  <c r="G54" i="15"/>
  <c r="F54" i="15"/>
  <c r="E54" i="15"/>
  <c r="G53" i="15"/>
  <c r="F53" i="15"/>
  <c r="E53" i="15"/>
  <c r="G52" i="15"/>
  <c r="F52" i="15"/>
  <c r="E52" i="15"/>
  <c r="D51" i="15"/>
  <c r="G51" i="15" s="1"/>
  <c r="G50" i="15"/>
  <c r="F50" i="15"/>
  <c r="E50" i="15"/>
  <c r="G49" i="15"/>
  <c r="F49" i="15"/>
  <c r="E49" i="15"/>
  <c r="G48" i="15"/>
  <c r="F48" i="15"/>
  <c r="E48" i="15"/>
  <c r="G47" i="15"/>
  <c r="F47" i="15"/>
  <c r="E47" i="15"/>
  <c r="G46" i="15"/>
  <c r="F46" i="15"/>
  <c r="E46" i="15"/>
  <c r="D46" i="15"/>
  <c r="G45" i="15"/>
  <c r="F45" i="15"/>
  <c r="E45" i="15"/>
  <c r="G44" i="15"/>
  <c r="F44" i="15"/>
  <c r="E44" i="15"/>
  <c r="G43" i="15"/>
  <c r="F43" i="15"/>
  <c r="E43" i="15"/>
  <c r="G42" i="15"/>
  <c r="F42" i="15"/>
  <c r="E42" i="15"/>
  <c r="D41" i="15"/>
  <c r="F41" i="15" s="1"/>
  <c r="D40" i="15"/>
  <c r="G40" i="15" s="1"/>
  <c r="G39" i="15"/>
  <c r="F39" i="15"/>
  <c r="E39" i="15"/>
  <c r="G38" i="15"/>
  <c r="F38" i="15"/>
  <c r="E38" i="15"/>
  <c r="G37" i="15"/>
  <c r="F37" i="15"/>
  <c r="E37" i="15"/>
  <c r="D36" i="15"/>
  <c r="F36" i="15" s="1"/>
  <c r="G35" i="15"/>
  <c r="F35" i="15"/>
  <c r="E35" i="15"/>
  <c r="G34" i="15"/>
  <c r="F34" i="15"/>
  <c r="E34" i="15"/>
  <c r="G33" i="15"/>
  <c r="F33" i="15"/>
  <c r="E33" i="15"/>
  <c r="O32" i="15"/>
  <c r="L32" i="15"/>
  <c r="N32" i="15" s="1"/>
  <c r="G32" i="15"/>
  <c r="F32" i="15"/>
  <c r="E32" i="15"/>
  <c r="O31" i="15"/>
  <c r="L31" i="15"/>
  <c r="N31" i="15" s="1"/>
  <c r="G31" i="15"/>
  <c r="F31" i="15"/>
  <c r="E31" i="15"/>
  <c r="O30" i="15"/>
  <c r="N30" i="15"/>
  <c r="M30" i="15"/>
  <c r="L30" i="15"/>
  <c r="G30" i="15"/>
  <c r="F30" i="15"/>
  <c r="E30" i="15"/>
  <c r="O29" i="15"/>
  <c r="L29" i="15"/>
  <c r="N29" i="15" s="1"/>
  <c r="G29" i="15"/>
  <c r="F29" i="15"/>
  <c r="E29" i="15"/>
  <c r="O28" i="15"/>
  <c r="L28" i="15"/>
  <c r="M28" i="15" s="1"/>
  <c r="G28" i="15"/>
  <c r="F28" i="15"/>
  <c r="E28" i="15"/>
  <c r="O27" i="15"/>
  <c r="L27" i="15"/>
  <c r="N27" i="15" s="1"/>
  <c r="G27" i="15"/>
  <c r="F27" i="15"/>
  <c r="E27" i="15"/>
  <c r="O26" i="15"/>
  <c r="L26" i="15"/>
  <c r="M26" i="15" s="1"/>
  <c r="G26" i="15"/>
  <c r="F26" i="15"/>
  <c r="E26" i="15"/>
  <c r="O25" i="15"/>
  <c r="L25" i="15"/>
  <c r="N25" i="15" s="1"/>
  <c r="G25" i="15"/>
  <c r="F25" i="15"/>
  <c r="E25" i="15"/>
  <c r="O24" i="15"/>
  <c r="L24" i="15"/>
  <c r="N24" i="15" s="1"/>
  <c r="D24" i="15"/>
  <c r="G24" i="15" s="1"/>
  <c r="O23" i="15"/>
  <c r="L23" i="15"/>
  <c r="N23" i="15" s="1"/>
  <c r="G23" i="15"/>
  <c r="F23" i="15"/>
  <c r="E23" i="15"/>
  <c r="D23" i="15"/>
  <c r="O22" i="15"/>
  <c r="L22" i="15"/>
  <c r="N22" i="15" s="1"/>
  <c r="G22" i="15"/>
  <c r="F22" i="15"/>
  <c r="E22" i="15"/>
  <c r="O21" i="15"/>
  <c r="L21" i="15"/>
  <c r="N21" i="15" s="1"/>
  <c r="D21" i="15"/>
  <c r="F21" i="15" s="1"/>
  <c r="O20" i="15"/>
  <c r="L20" i="15"/>
  <c r="N20" i="15" s="1"/>
  <c r="G20" i="15"/>
  <c r="F20" i="15"/>
  <c r="E20" i="15"/>
  <c r="O19" i="15"/>
  <c r="L19" i="15"/>
  <c r="N19" i="15" s="1"/>
  <c r="G19" i="15"/>
  <c r="F19" i="15"/>
  <c r="E19" i="15"/>
  <c r="O18" i="15"/>
  <c r="L18" i="15"/>
  <c r="N18" i="15" s="1"/>
  <c r="G18" i="15"/>
  <c r="F18" i="15"/>
  <c r="E18" i="15"/>
  <c r="O17" i="15"/>
  <c r="L17" i="15"/>
  <c r="N17" i="15" s="1"/>
  <c r="D17" i="15"/>
  <c r="G17" i="15" s="1"/>
  <c r="O16" i="15"/>
  <c r="N16" i="15"/>
  <c r="L16" i="15"/>
  <c r="M16" i="15" s="1"/>
  <c r="D16" i="15"/>
  <c r="G16" i="15" s="1"/>
  <c r="O15" i="15"/>
  <c r="L15" i="15"/>
  <c r="N15" i="15" s="1"/>
  <c r="G15" i="15"/>
  <c r="F15" i="15"/>
  <c r="E15" i="15"/>
  <c r="O14" i="15"/>
  <c r="L14" i="15"/>
  <c r="N14" i="15" s="1"/>
  <c r="G14" i="15"/>
  <c r="F14" i="15"/>
  <c r="E14" i="15"/>
  <c r="O13" i="15"/>
  <c r="L13" i="15"/>
  <c r="N13" i="15" s="1"/>
  <c r="G13" i="15"/>
  <c r="F13" i="15"/>
  <c r="E13" i="15"/>
  <c r="O12" i="15"/>
  <c r="L12" i="15"/>
  <c r="N12" i="15" s="1"/>
  <c r="G12" i="15"/>
  <c r="F12" i="15"/>
  <c r="E12" i="15"/>
  <c r="O11" i="15"/>
  <c r="L11" i="15"/>
  <c r="N11" i="15" s="1"/>
  <c r="G11" i="15"/>
  <c r="F11" i="15"/>
  <c r="E11" i="15"/>
  <c r="O10" i="15"/>
  <c r="L10" i="15"/>
  <c r="N10" i="15" s="1"/>
  <c r="G10" i="15"/>
  <c r="F10" i="15"/>
  <c r="E10" i="15"/>
  <c r="O9" i="15"/>
  <c r="L9" i="15"/>
  <c r="N9" i="15" s="1"/>
  <c r="G9" i="15"/>
  <c r="F9" i="15"/>
  <c r="E9" i="15"/>
  <c r="O8" i="15"/>
  <c r="L8" i="15"/>
  <c r="N8" i="15" s="1"/>
  <c r="G8" i="15"/>
  <c r="F8" i="15"/>
  <c r="O7" i="15"/>
  <c r="L7" i="15"/>
  <c r="N7" i="15" s="1"/>
  <c r="G7" i="15"/>
  <c r="F7" i="15"/>
  <c r="O6" i="15"/>
  <c r="L6" i="15"/>
  <c r="N6" i="15" s="1"/>
  <c r="G6" i="15"/>
  <c r="F6" i="15"/>
  <c r="E6" i="15"/>
  <c r="O5" i="15"/>
  <c r="L5" i="15"/>
  <c r="N5" i="15" s="1"/>
  <c r="G5" i="15"/>
  <c r="F5" i="15"/>
  <c r="E5" i="15"/>
  <c r="O4" i="15"/>
  <c r="L4" i="15"/>
  <c r="M4" i="15" s="1"/>
  <c r="G4" i="15"/>
  <c r="F4" i="15"/>
  <c r="E4" i="15"/>
  <c r="O3" i="15"/>
  <c r="L3" i="15"/>
  <c r="N3" i="15" s="1"/>
  <c r="G3" i="15"/>
  <c r="F3" i="15"/>
  <c r="E3" i="15"/>
  <c r="M119" i="15" l="1"/>
  <c r="N118" i="15"/>
  <c r="M120" i="15"/>
  <c r="M114" i="15"/>
  <c r="M108" i="15"/>
  <c r="M98" i="15"/>
  <c r="N101" i="15"/>
  <c r="N95" i="15"/>
  <c r="N78" i="15"/>
  <c r="M79" i="15"/>
  <c r="N71" i="15"/>
  <c r="N65" i="15"/>
  <c r="N70" i="15"/>
  <c r="N64" i="15"/>
  <c r="M54" i="15"/>
  <c r="M53" i="15"/>
  <c r="M31" i="15"/>
  <c r="M24" i="15"/>
  <c r="M11" i="15"/>
  <c r="M12" i="15"/>
  <c r="M3" i="15"/>
  <c r="M25" i="15"/>
  <c r="N4" i="15"/>
  <c r="M21" i="15"/>
  <c r="M5" i="15"/>
  <c r="M13" i="15"/>
  <c r="E16" i="15"/>
  <c r="M17" i="15"/>
  <c r="M22" i="15"/>
  <c r="E24" i="15"/>
  <c r="M32" i="15"/>
  <c r="E41" i="15"/>
  <c r="E56" i="15"/>
  <c r="M6" i="15"/>
  <c r="M7" i="15"/>
  <c r="M8" i="15"/>
  <c r="M14" i="15"/>
  <c r="M18" i="15"/>
  <c r="E21" i="15"/>
  <c r="N26" i="15"/>
  <c r="M27" i="15"/>
  <c r="E36" i="15"/>
  <c r="F56" i="15"/>
  <c r="M9" i="15"/>
  <c r="M15" i="15"/>
  <c r="E17" i="15"/>
  <c r="M19" i="15"/>
  <c r="M23" i="15"/>
  <c r="G41" i="15"/>
  <c r="E51" i="15"/>
  <c r="E72" i="15"/>
  <c r="M10" i="15"/>
  <c r="F17" i="15"/>
  <c r="M20" i="15"/>
  <c r="G21" i="15"/>
  <c r="N28" i="15"/>
  <c r="M29" i="15"/>
  <c r="G36" i="15"/>
  <c r="F40" i="15"/>
  <c r="F51" i="15"/>
  <c r="E68" i="15"/>
  <c r="F72" i="15"/>
  <c r="E74" i="15"/>
  <c r="F99" i="15"/>
  <c r="E101" i="15"/>
  <c r="F16" i="15"/>
  <c r="F24" i="15"/>
  <c r="E40" i="15"/>
  <c r="E99" i="15"/>
  <c r="I26" i="8" l="1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B11" i="13" l="1"/>
  <c r="O32" i="8" l="1"/>
  <c r="O48" i="8"/>
  <c r="O51" i="8"/>
  <c r="O52" i="8"/>
  <c r="O54" i="8"/>
  <c r="O56" i="8"/>
  <c r="O77" i="8"/>
  <c r="O78" i="8"/>
  <c r="O79" i="8"/>
  <c r="O80" i="8"/>
  <c r="O81" i="8"/>
  <c r="I71" i="9" l="1"/>
  <c r="I77" i="9"/>
  <c r="I69" i="9"/>
  <c r="I61" i="9"/>
  <c r="I53" i="9"/>
  <c r="I45" i="9"/>
  <c r="I37" i="9"/>
  <c r="I29" i="9"/>
  <c r="I76" i="9"/>
  <c r="I68" i="9"/>
  <c r="I60" i="9"/>
  <c r="I52" i="9"/>
  <c r="I44" i="9"/>
  <c r="I36" i="9"/>
  <c r="I28" i="9"/>
  <c r="I75" i="9"/>
  <c r="I67" i="9"/>
  <c r="I59" i="9"/>
  <c r="I51" i="9"/>
  <c r="I43" i="9"/>
  <c r="I35" i="9"/>
  <c r="I27" i="9"/>
  <c r="I74" i="9"/>
  <c r="I66" i="9"/>
  <c r="I58" i="9"/>
  <c r="I50" i="9"/>
  <c r="I42" i="9"/>
  <c r="I34" i="9"/>
  <c r="I26" i="9"/>
  <c r="I73" i="9"/>
  <c r="I65" i="9"/>
  <c r="I57" i="9"/>
  <c r="I49" i="9"/>
  <c r="I41" i="9"/>
  <c r="I33" i="9"/>
  <c r="I25" i="9"/>
  <c r="I64" i="9"/>
  <c r="I56" i="9"/>
  <c r="I48" i="9"/>
  <c r="I40" i="9"/>
  <c r="I32" i="9"/>
  <c r="I24" i="9"/>
  <c r="I63" i="9"/>
  <c r="I55" i="9"/>
  <c r="I47" i="9"/>
  <c r="I39" i="9"/>
  <c r="I31" i="9"/>
  <c r="I23" i="9"/>
  <c r="I72" i="9"/>
  <c r="I70" i="9"/>
  <c r="I62" i="9"/>
  <c r="I54" i="9"/>
  <c r="I46" i="9"/>
  <c r="I38" i="9"/>
  <c r="I30" i="9"/>
  <c r="I22" i="9"/>
  <c r="K26" i="8" l="1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N27" i="8"/>
  <c r="O27" i="8" s="1"/>
  <c r="N28" i="8"/>
  <c r="O28" i="8" s="1"/>
  <c r="N37" i="8"/>
  <c r="O37" i="8" s="1"/>
  <c r="N38" i="8"/>
  <c r="O38" i="8" s="1"/>
  <c r="O82" i="8"/>
  <c r="L35" i="9" l="1"/>
  <c r="N39" i="8"/>
  <c r="O39" i="8" s="1"/>
  <c r="L43" i="9"/>
  <c r="N47" i="8"/>
  <c r="O47" i="8" s="1"/>
  <c r="L56" i="9"/>
  <c r="N60" i="8"/>
  <c r="O60" i="8" s="1"/>
  <c r="L45" i="9"/>
  <c r="N49" i="8"/>
  <c r="O49" i="8" s="1"/>
  <c r="L42" i="9"/>
  <c r="N46" i="8"/>
  <c r="O46" i="8" s="1"/>
  <c r="N30" i="8"/>
  <c r="O30" i="8" s="1"/>
  <c r="L59" i="9"/>
  <c r="N63" i="8"/>
  <c r="O63" i="8" s="1"/>
  <c r="L39" i="9"/>
  <c r="N43" i="8"/>
  <c r="O43" i="8" s="1"/>
  <c r="L31" i="9"/>
  <c r="N35" i="8"/>
  <c r="O35" i="8" s="1"/>
  <c r="L64" i="9"/>
  <c r="N68" i="8"/>
  <c r="O68" i="8" s="1"/>
  <c r="L58" i="9"/>
  <c r="N62" i="8"/>
  <c r="O62" i="8" s="1"/>
  <c r="L63" i="9"/>
  <c r="N67" i="8"/>
  <c r="O67" i="8" s="1"/>
  <c r="L68" i="9"/>
  <c r="N72" i="8"/>
  <c r="O72" i="8" s="1"/>
  <c r="L60" i="9"/>
  <c r="N64" i="8"/>
  <c r="O64" i="8" s="1"/>
  <c r="L36" i="9"/>
  <c r="N40" i="8"/>
  <c r="O40" i="8" s="1"/>
  <c r="L67" i="9"/>
  <c r="N71" i="8"/>
  <c r="O71" i="8" s="1"/>
  <c r="L27" i="9"/>
  <c r="N31" i="8"/>
  <c r="O31" i="8" s="1"/>
  <c r="L72" i="9"/>
  <c r="N76" i="8"/>
  <c r="O76" i="8" s="1"/>
  <c r="L40" i="9"/>
  <c r="N44" i="8"/>
  <c r="O44" i="8" s="1"/>
  <c r="L69" i="9"/>
  <c r="N73" i="8"/>
  <c r="O73" i="8" s="1"/>
  <c r="L37" i="9"/>
  <c r="N41" i="8"/>
  <c r="O41" i="8" s="1"/>
  <c r="L29" i="9"/>
  <c r="N33" i="8"/>
  <c r="O33" i="8" s="1"/>
  <c r="L66" i="9"/>
  <c r="N70" i="8"/>
  <c r="O70" i="8" s="1"/>
  <c r="L65" i="9"/>
  <c r="N69" i="8"/>
  <c r="O69" i="8" s="1"/>
  <c r="L57" i="9"/>
  <c r="N61" i="8"/>
  <c r="O61" i="8" s="1"/>
  <c r="L49" i="9"/>
  <c r="N53" i="8"/>
  <c r="O53" i="8" s="1"/>
  <c r="L41" i="9"/>
  <c r="N45" i="8"/>
  <c r="O45" i="8" s="1"/>
  <c r="L25" i="9"/>
  <c r="N29" i="8"/>
  <c r="O29" i="8" s="1"/>
  <c r="L51" i="9"/>
  <c r="N55" i="8"/>
  <c r="O55" i="8" s="1"/>
  <c r="L32" i="9"/>
  <c r="N36" i="8"/>
  <c r="O36" i="8" s="1"/>
  <c r="L61" i="9"/>
  <c r="N65" i="8"/>
  <c r="O65" i="8" s="1"/>
  <c r="L53" i="9"/>
  <c r="N57" i="8"/>
  <c r="O57" i="8" s="1"/>
  <c r="L71" i="9"/>
  <c r="N75" i="8"/>
  <c r="O75" i="8" s="1"/>
  <c r="L55" i="9"/>
  <c r="N59" i="8"/>
  <c r="O59" i="8" s="1"/>
  <c r="L70" i="9"/>
  <c r="N74" i="8"/>
  <c r="O74" i="8" s="1"/>
  <c r="L62" i="9"/>
  <c r="N66" i="8"/>
  <c r="O66" i="8" s="1"/>
  <c r="L54" i="9"/>
  <c r="N58" i="8"/>
  <c r="O58" i="8" s="1"/>
  <c r="L46" i="9"/>
  <c r="N50" i="8"/>
  <c r="O50" i="8" s="1"/>
  <c r="L38" i="9"/>
  <c r="N42" i="8"/>
  <c r="O42" i="8" s="1"/>
  <c r="L30" i="9"/>
  <c r="N34" i="8"/>
  <c r="O34" i="8" s="1"/>
  <c r="N26" i="8"/>
  <c r="O26" i="8" s="1"/>
  <c r="L24" i="9"/>
  <c r="L85" i="12"/>
  <c r="G85" i="12" s="1"/>
  <c r="L34" i="9"/>
  <c r="L23" i="9"/>
  <c r="L33" i="9"/>
  <c r="L84" i="12"/>
  <c r="G84" i="12" s="1"/>
  <c r="L48" i="9"/>
  <c r="L74" i="9"/>
  <c r="L76" i="9"/>
  <c r="L73" i="9"/>
  <c r="L50" i="9"/>
  <c r="L47" i="9"/>
  <c r="L26" i="9"/>
  <c r="L77" i="9"/>
  <c r="L75" i="9"/>
  <c r="L52" i="9"/>
  <c r="L44" i="9"/>
  <c r="L28" i="9"/>
  <c r="A11" i="13" l="1"/>
  <c r="A12" i="13" s="1"/>
  <c r="A13" i="13" s="1"/>
  <c r="C13" i="13"/>
  <c r="F13" i="13"/>
  <c r="E87" i="12"/>
  <c r="A80" i="12"/>
  <c r="A81" i="12" s="1"/>
  <c r="A82" i="12" s="1"/>
  <c r="A83" i="12" s="1"/>
  <c r="A86" i="12" l="1"/>
  <c r="A84" i="12"/>
  <c r="A85" i="12" s="1"/>
  <c r="L70" i="12"/>
  <c r="G70" i="12" s="1"/>
  <c r="L71" i="12"/>
  <c r="F12" i="13" l="1"/>
  <c r="C12" i="13"/>
  <c r="A48" i="12"/>
  <c r="A49" i="12" s="1"/>
  <c r="E64" i="12"/>
  <c r="A51" i="12" l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50" i="12"/>
  <c r="L78" i="12"/>
  <c r="G78" i="12" s="1"/>
  <c r="L75" i="12"/>
  <c r="G75" i="12" s="1"/>
  <c r="L82" i="12"/>
  <c r="G82" i="12" s="1"/>
  <c r="L79" i="12"/>
  <c r="G79" i="12" s="1"/>
  <c r="L73" i="12"/>
  <c r="G73" i="12" s="1"/>
  <c r="L76" i="12"/>
  <c r="G76" i="12" s="1"/>
  <c r="L86" i="12"/>
  <c r="G86" i="12" s="1"/>
  <c r="L83" i="12"/>
  <c r="G83" i="12" s="1"/>
  <c r="L81" i="12"/>
  <c r="G81" i="12" s="1"/>
  <c r="L80" i="12"/>
  <c r="G80" i="12" s="1"/>
  <c r="L77" i="12"/>
  <c r="G77" i="12" s="1"/>
  <c r="L74" i="12"/>
  <c r="G74" i="12" s="1"/>
  <c r="L88" i="12" l="1"/>
  <c r="F78" i="9" l="1"/>
  <c r="N25" i="8" l="1"/>
  <c r="L21" i="12" l="1"/>
  <c r="G21" i="12" s="1"/>
  <c r="L22" i="12"/>
  <c r="G22" i="12" s="1"/>
  <c r="O25" i="8"/>
  <c r="L58" i="12"/>
  <c r="G58" i="12" s="1"/>
  <c r="L59" i="12"/>
  <c r="G59" i="12" s="1"/>
  <c r="L60" i="12"/>
  <c r="G60" i="12" s="1"/>
  <c r="L61" i="12"/>
  <c r="G61" i="12" s="1"/>
  <c r="L63" i="12"/>
  <c r="G63" i="12" s="1"/>
  <c r="L62" i="12"/>
  <c r="G62" i="12" s="1"/>
  <c r="L20" i="12"/>
  <c r="G20" i="12" s="1"/>
  <c r="H20" i="12" s="1"/>
  <c r="L30" i="12"/>
  <c r="G30" i="12" s="1"/>
  <c r="L28" i="12"/>
  <c r="G28" i="12" s="1"/>
  <c r="L23" i="12"/>
  <c r="G23" i="12" s="1"/>
  <c r="L31" i="12"/>
  <c r="G31" i="12" s="1"/>
  <c r="L29" i="12"/>
  <c r="G29" i="12" s="1"/>
  <c r="L24" i="12"/>
  <c r="G24" i="12" s="1"/>
  <c r="L32" i="12"/>
  <c r="G32" i="12" s="1"/>
  <c r="L25" i="12"/>
  <c r="G25" i="12" s="1"/>
  <c r="L26" i="12"/>
  <c r="G26" i="12" s="1"/>
  <c r="L27" i="12"/>
  <c r="G27" i="12" s="1"/>
  <c r="L68" i="12"/>
  <c r="G68" i="12" s="1"/>
  <c r="L69" i="12"/>
  <c r="G69" i="12" s="1"/>
  <c r="L50" i="12"/>
  <c r="G50" i="12" s="1"/>
  <c r="L64" i="12"/>
  <c r="L65" i="12"/>
  <c r="G65" i="12" s="1"/>
  <c r="L72" i="12"/>
  <c r="G72" i="12" s="1"/>
  <c r="L66" i="12"/>
  <c r="G66" i="12" s="1"/>
  <c r="H66" i="12" s="1"/>
  <c r="L67" i="12"/>
  <c r="G67" i="12" s="1"/>
  <c r="G71" i="12"/>
  <c r="L45" i="12"/>
  <c r="G45" i="12" s="1"/>
  <c r="H45" i="12" s="1"/>
  <c r="L54" i="12"/>
  <c r="G54" i="12" s="1"/>
  <c r="L46" i="12"/>
  <c r="G46" i="12" s="1"/>
  <c r="H46" i="12" s="1"/>
  <c r="L55" i="12"/>
  <c r="G55" i="12" s="1"/>
  <c r="L47" i="12"/>
  <c r="G47" i="12" s="1"/>
  <c r="L56" i="12"/>
  <c r="G56" i="12" s="1"/>
  <c r="L48" i="12"/>
  <c r="G48" i="12" s="1"/>
  <c r="L57" i="12"/>
  <c r="G57" i="12" s="1"/>
  <c r="L49" i="12"/>
  <c r="G49" i="12" s="1"/>
  <c r="L51" i="12"/>
  <c r="G51" i="12" s="1"/>
  <c r="L52" i="12"/>
  <c r="G52" i="12" s="1"/>
  <c r="L53" i="12"/>
  <c r="G53" i="12" s="1"/>
  <c r="A38" i="12"/>
  <c r="A39" i="12" s="1"/>
  <c r="A40" i="12" s="1"/>
  <c r="A41" i="12" s="1"/>
  <c r="A42" i="12" s="1"/>
  <c r="E43" i="12"/>
  <c r="H67" i="12" l="1"/>
  <c r="H47" i="12"/>
  <c r="H21" i="12"/>
  <c r="G87" i="12"/>
  <c r="H65" i="12"/>
  <c r="T17" i="12"/>
  <c r="I26" i="12" s="1"/>
  <c r="AD17" i="12"/>
  <c r="AB17" i="12"/>
  <c r="Z17" i="12"/>
  <c r="I74" i="12" s="1"/>
  <c r="X17" i="12"/>
  <c r="I56" i="12" s="1"/>
  <c r="V17" i="12"/>
  <c r="I39" i="12" s="1"/>
  <c r="U15" i="12"/>
  <c r="W15" i="12"/>
  <c r="Y15" i="12"/>
  <c r="AA15" i="12"/>
  <c r="AC15" i="12"/>
  <c r="AE15" i="12"/>
  <c r="Q15" i="12"/>
  <c r="H87" i="12" l="1"/>
  <c r="N13" i="13" s="1"/>
  <c r="E13" i="13" s="1"/>
  <c r="T18" i="12"/>
  <c r="L22" i="9"/>
  <c r="F82" i="8" l="1"/>
  <c r="M79" i="9" s="1"/>
  <c r="Q12" i="12" l="1"/>
  <c r="Q11" i="12"/>
  <c r="Q13" i="12"/>
  <c r="Q14" i="12"/>
  <c r="L42" i="12" l="1"/>
  <c r="G42" i="12" s="1"/>
  <c r="K25" i="8" l="1"/>
  <c r="K82" i="8" s="1"/>
  <c r="L44" i="12"/>
  <c r="G44" i="12" s="1"/>
  <c r="L40" i="12"/>
  <c r="G40" i="12" s="1"/>
  <c r="L41" i="12"/>
  <c r="G41" i="12" s="1"/>
  <c r="L35" i="12"/>
  <c r="G35" i="12" s="1"/>
  <c r="H35" i="12" s="1"/>
  <c r="L38" i="12"/>
  <c r="G38" i="12" s="1"/>
  <c r="L36" i="12"/>
  <c r="G36" i="12" s="1"/>
  <c r="H36" i="12" s="1"/>
  <c r="L39" i="12"/>
  <c r="G39" i="12" s="1"/>
  <c r="L37" i="12"/>
  <c r="G37" i="12" s="1"/>
  <c r="H37" i="12" l="1"/>
  <c r="H44" i="12"/>
  <c r="H64" i="12" s="1"/>
  <c r="N12" i="13" s="1"/>
  <c r="E12" i="13" s="1"/>
  <c r="B12" i="13"/>
  <c r="B13" i="13" s="1"/>
  <c r="Q4" i="12" l="1"/>
  <c r="E33" i="12" l="1"/>
  <c r="E88" i="12" s="1"/>
  <c r="P93" i="12" l="1"/>
  <c r="F11" i="13" l="1"/>
  <c r="C11" i="13"/>
  <c r="L34" i="12" l="1"/>
  <c r="G34" i="12" s="1"/>
  <c r="H34" i="12" l="1"/>
  <c r="H43" i="12" s="1"/>
  <c r="N11" i="13" l="1"/>
  <c r="E11" i="13" l="1"/>
  <c r="L21" i="9" l="1"/>
  <c r="L80" i="9" s="1"/>
  <c r="C15" i="9"/>
  <c r="C10" i="13" l="1"/>
  <c r="A2" i="12" l="1"/>
  <c r="H11" i="9" l="1"/>
  <c r="C12" i="12" l="1"/>
  <c r="I25" i="8" l="1"/>
  <c r="I82" i="8" s="1"/>
  <c r="U7" i="12" l="1"/>
  <c r="E18" i="8" l="1"/>
  <c r="H13" i="9" s="1"/>
  <c r="U12" i="12" l="1"/>
  <c r="I21" i="9" l="1"/>
  <c r="I78" i="9" s="1"/>
  <c r="M78" i="9" s="1"/>
  <c r="Q5" i="12" l="1"/>
  <c r="L19" i="12"/>
  <c r="G19" i="12" s="1"/>
  <c r="H19" i="12" s="1"/>
  <c r="H33" i="12" s="1"/>
  <c r="H88" i="12" s="1"/>
  <c r="Q10" i="12"/>
  <c r="G88" i="12" l="1"/>
  <c r="W25" i="8"/>
  <c r="C91" i="12" l="1"/>
  <c r="P94" i="12" s="1"/>
  <c r="N10" i="13" l="1"/>
  <c r="N14" i="13" s="1"/>
  <c r="W29" i="8"/>
  <c r="W28" i="8"/>
  <c r="W27" i="8"/>
  <c r="W32" i="8"/>
  <c r="W26" i="8"/>
  <c r="F10" i="13" l="1"/>
  <c r="A26" i="8" l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Q9" i="12" l="1"/>
  <c r="Y13" i="12" l="1"/>
  <c r="W13" i="12"/>
  <c r="AE14" i="12"/>
  <c r="AE13" i="12"/>
  <c r="AE12" i="12"/>
  <c r="AE11" i="12"/>
  <c r="AE10" i="12"/>
  <c r="AE9" i="12"/>
  <c r="AE8" i="12"/>
  <c r="AE7" i="12"/>
  <c r="AE6" i="12"/>
  <c r="AE5" i="12"/>
  <c r="AE4" i="12"/>
  <c r="AC13" i="12"/>
  <c r="AC8" i="12"/>
  <c r="AC14" i="12"/>
  <c r="AC12" i="12"/>
  <c r="AC11" i="12"/>
  <c r="AC10" i="12"/>
  <c r="AC9" i="12"/>
  <c r="AC7" i="12"/>
  <c r="AC6" i="12"/>
  <c r="AC5" i="12"/>
  <c r="AC4" i="12"/>
  <c r="AA9" i="12"/>
  <c r="AA4" i="12"/>
  <c r="AA13" i="12"/>
  <c r="AC17" i="12" l="1"/>
  <c r="AE17" i="12"/>
  <c r="G9" i="12"/>
  <c r="Q8" i="12" l="1"/>
  <c r="Q7" i="12"/>
  <c r="Q6" i="12"/>
  <c r="Q17" i="12" l="1"/>
  <c r="A18" i="12"/>
  <c r="H8" i="12" l="1"/>
  <c r="H7" i="12"/>
  <c r="B9" i="12" l="1"/>
  <c r="B8" i="12"/>
  <c r="C90" i="12" l="1"/>
  <c r="D90" i="12" s="1"/>
  <c r="Y4" i="12" l="1"/>
  <c r="W14" i="12" l="1"/>
  <c r="W12" i="12"/>
  <c r="W10" i="12"/>
  <c r="W4" i="12"/>
  <c r="U4" i="12"/>
  <c r="B10" i="12" l="1"/>
  <c r="B12" i="12" l="1"/>
  <c r="W11" i="12" l="1"/>
  <c r="AA5" i="12"/>
  <c r="AA6" i="12"/>
  <c r="AA7" i="12"/>
  <c r="AA8" i="12"/>
  <c r="AA10" i="12"/>
  <c r="AA11" i="12"/>
  <c r="AA12" i="12"/>
  <c r="AA14" i="12"/>
  <c r="Y5" i="12"/>
  <c r="Y6" i="12"/>
  <c r="Y7" i="12"/>
  <c r="Y8" i="12"/>
  <c r="Y9" i="12"/>
  <c r="Y10" i="12"/>
  <c r="Y11" i="12"/>
  <c r="Y12" i="12"/>
  <c r="Y14" i="12"/>
  <c r="W5" i="12"/>
  <c r="W6" i="12"/>
  <c r="W7" i="12"/>
  <c r="W8" i="12"/>
  <c r="W9" i="12"/>
  <c r="U5" i="12"/>
  <c r="U6" i="12"/>
  <c r="U8" i="12"/>
  <c r="U9" i="12"/>
  <c r="U10" i="12"/>
  <c r="U11" i="12"/>
  <c r="U13" i="12"/>
  <c r="U14" i="12"/>
  <c r="U17" i="12" l="1"/>
  <c r="I27" i="12" s="1"/>
  <c r="W17" i="12"/>
  <c r="I40" i="12" s="1"/>
  <c r="Y17" i="12"/>
  <c r="I57" i="12" s="1"/>
  <c r="AA17" i="12"/>
  <c r="I75" i="12" s="1"/>
  <c r="G10" i="12" l="1"/>
  <c r="A20" i="9" l="1"/>
  <c r="G8" i="12" l="1"/>
  <c r="G7" i="12" l="1"/>
  <c r="C13" i="12" l="1"/>
  <c r="G12" i="12" l="1"/>
  <c r="E17" i="8" l="1"/>
  <c r="T19" i="12" l="1"/>
  <c r="C93" i="12" s="1"/>
  <c r="C92" i="12" l="1"/>
  <c r="E10" i="13" l="1"/>
</calcChain>
</file>

<file path=xl/sharedStrings.xml><?xml version="1.0" encoding="utf-8"?>
<sst xmlns="http://schemas.openxmlformats.org/spreadsheetml/2006/main" count="1441" uniqueCount="515">
  <si>
    <t>To:</t>
  </si>
  <si>
    <t>Covered by Shipper</t>
  </si>
  <si>
    <t>Description of goods</t>
  </si>
  <si>
    <t>Quantity</t>
  </si>
  <si>
    <t>Amount (JPY)</t>
  </si>
  <si>
    <t>Code No.</t>
  </si>
  <si>
    <t>Code Name</t>
  </si>
  <si>
    <t>PCS</t>
  </si>
  <si>
    <t>INVOICE</t>
  </si>
  <si>
    <t>By order and for account and risk of:</t>
  </si>
  <si>
    <t>Consignee:</t>
  </si>
  <si>
    <t>Terms of Payment:</t>
  </si>
  <si>
    <t>Sailing on:</t>
  </si>
  <si>
    <t>Port of loading:</t>
  </si>
  <si>
    <t>No</t>
  </si>
  <si>
    <t>PACKING LIST</t>
  </si>
  <si>
    <t>M3</t>
  </si>
  <si>
    <t>TOTAL:</t>
  </si>
  <si>
    <t>NET WEIGHT:</t>
  </si>
  <si>
    <t>CITIZEN MACHINERY VIETNAM CO., LTD</t>
  </si>
  <si>
    <t>CITIZEN MACHINERY ASIA CO., LTD</t>
  </si>
  <si>
    <t>kg</t>
  </si>
  <si>
    <t>PURCHASE ORDER SHEET</t>
  </si>
  <si>
    <t>GROSS WEIGHT:</t>
  </si>
  <si>
    <t>MEASUREMENT:</t>
  </si>
  <si>
    <t>Kich thuoc thung</t>
  </si>
  <si>
    <t>Trong luong</t>
  </si>
  <si>
    <t>So thung</t>
  </si>
  <si>
    <t>CITIZEN MACHINERY ASIA CO., LTD.</t>
  </si>
  <si>
    <t>Ocean freight</t>
  </si>
  <si>
    <t>T/T Remittance within 30 days after Invoice date</t>
  </si>
  <si>
    <t>Case No.</t>
  </si>
  <si>
    <t>Remarks</t>
  </si>
  <si>
    <t>Laem Chabang, Thailand</t>
  </si>
  <si>
    <t>Delivery Terms: CIF Laem Chabang, Thailand</t>
  </si>
  <si>
    <t>1100*770*670</t>
  </si>
  <si>
    <t>Unit Price</t>
  </si>
  <si>
    <t>Haiphong, Vietnam</t>
  </si>
  <si>
    <t>Packing: Standard export packing</t>
  </si>
  <si>
    <t>Tel.: +84-225-3743232~3</t>
  </si>
  <si>
    <t>Fax: +84-225-3743234</t>
  </si>
  <si>
    <t>Tel: 84-225-3743232, 33    Fax: 84-225-3743234</t>
  </si>
  <si>
    <t>P.O No.</t>
  </si>
  <si>
    <t>Insurance:</t>
  </si>
  <si>
    <t>Cont1</t>
  </si>
  <si>
    <t>Cont2</t>
  </si>
  <si>
    <t>Cont3</t>
  </si>
  <si>
    <t>Cont4</t>
  </si>
  <si>
    <t>By T.T within 30 days after Invoice date</t>
  </si>
  <si>
    <t>Insurance: To be covered by Shipper</t>
  </si>
  <si>
    <t>PARTS FOR CNC AUTOMATIC LATHE.</t>
  </si>
  <si>
    <t>TOTAL</t>
  </si>
  <si>
    <t>Case</t>
  </si>
  <si>
    <t>Total case:</t>
  </si>
  <si>
    <t>Total M3:</t>
  </si>
  <si>
    <t>Name of vessel/Voy.</t>
  </si>
  <si>
    <t>Purchase Order No. :</t>
  </si>
  <si>
    <t>Date:</t>
  </si>
  <si>
    <t>Shipment:</t>
  </si>
  <si>
    <t>Terms of Delivery:</t>
  </si>
  <si>
    <t>Delivery Time:</t>
  </si>
  <si>
    <t>Port of Discharge:</t>
  </si>
  <si>
    <t>Payment:</t>
  </si>
  <si>
    <t>Test pcs</t>
  </si>
  <si>
    <t>Kgs</t>
  </si>
  <si>
    <t>Tel: 66 (0)35 902-640-1 # 807;  Fax: 66 (0)35 902-644</t>
  </si>
  <si>
    <t>XÁC NHẬN TOÀN BỘ KHỐI LƯỢNG CONTAINER VẬN CHUYỂN QUỐC TẾ</t>
  </si>
  <si>
    <t>VERIFIED GROSS MASS SUBMISSION FORM (VGM FORM)</t>
  </si>
  <si>
    <t>1/ Tên người gửi hàng (Shipper authorized name): CITIZEN MACHINERY VIETNAM CO., LTD</t>
  </si>
  <si>
    <t>3/ Thông số container (Container's particular):</t>
  </si>
  <si>
    <t>STT (No)</t>
  </si>
  <si>
    <t>SỐ BOOKING
(Booking No)</t>
  </si>
  <si>
    <t>SỐ CONT
(Cont No)</t>
  </si>
  <si>
    <t>LOẠI CONT
(Size/Type)</t>
  </si>
  <si>
    <t>VGM (Kgs)</t>
  </si>
  <si>
    <t>NGÀY CÂN
 (VGM vertified date)</t>
  </si>
  <si>
    <t>TÊN ĐƠN VỊ VÀ ĐỊA CHỈ CÂN
(Name of weighing scale, adress)</t>
  </si>
  <si>
    <t>GHI CHÚ
(Remark)</t>
  </si>
  <si>
    <t>Chúng tôi cam kết và chịu trách nhiệm việc xác nhận toàn bộ khối lượng container như trên là đúng sự thật/</t>
  </si>
  <si>
    <t>(We are committed to and respondsible for the VGM of the container ablove is true)</t>
  </si>
  <si>
    <t>Wang Noi District, Phra Nakhon Si Ayutthaya Province 13170, Thailand</t>
  </si>
  <si>
    <t xml:space="preserve">199, Mu 1 Phahon Yothin Road, Sanap Tuep Sub-district, </t>
  </si>
  <si>
    <t xml:space="preserve">Invoice date: </t>
  </si>
  <si>
    <t xml:space="preserve">Invoice No.: </t>
  </si>
  <si>
    <t>NW (Kgs)</t>
  </si>
  <si>
    <t>GW(Kgs)</t>
  </si>
  <si>
    <t>Port of discharge:</t>
  </si>
  <si>
    <t>Cont5</t>
  </si>
  <si>
    <t>Cont6</t>
  </si>
  <si>
    <t>Account: (JPY) 155756, or (USD) 237132 at MUFG Bank, Ltd - Hanoi Branch</t>
  </si>
  <si>
    <t>40'</t>
  </si>
  <si>
    <t>Land Plot: J2, J3, J4 Japan Haiphong Industrial Zone</t>
  </si>
  <si>
    <t>Adress: JAPAN HAIPHONG INDUSTRIAL ZONE,</t>
  </si>
  <si>
    <t>Test Pcs</t>
  </si>
  <si>
    <t xml:space="preserve">     ĐƠN VỊ CÂN / WEIGHING SCALE</t>
  </si>
  <si>
    <t>NGƯỜI GỬI HÀNG /SHIPPER</t>
  </si>
  <si>
    <t>618-089-4</t>
  </si>
  <si>
    <t>618-084-13F</t>
  </si>
  <si>
    <t>0618-081-4</t>
  </si>
  <si>
    <t>0618-087-2</t>
  </si>
  <si>
    <t>0618-1001-4</t>
  </si>
  <si>
    <t>0618-1002-1</t>
  </si>
  <si>
    <t>0618-084-2</t>
  </si>
  <si>
    <t>0618-084-9</t>
  </si>
  <si>
    <t>618-084-13</t>
  </si>
  <si>
    <t>0617-107-1</t>
  </si>
  <si>
    <t>Hong An ward, Hai Phong city, Viet Nam</t>
  </si>
  <si>
    <t>Land plot J2, J3, J4, Japan Hai Phong IZ,  Hong An ward, Hai Phong city, Viet Nam</t>
  </si>
  <si>
    <t>COUNTRY OF ORIGIN: VIETNAM</t>
  </si>
  <si>
    <t>HONG AN, HAI PHONG</t>
  </si>
  <si>
    <t>2/ Địa chỉ/ Số điện thoại (Adress/ Tel): Land plot J2, J3, J4, JAPAN HAIPHONG INDUSTRIAL ZONE-HONG AN -HAIPHONG, VIETNAM</t>
  </si>
  <si>
    <t>G0039</t>
  </si>
  <si>
    <t>SUB TOTAL CONT 1</t>
  </si>
  <si>
    <t>Cont 1</t>
  </si>
  <si>
    <t>(40')</t>
  </si>
  <si>
    <t>Cases</t>
  </si>
  <si>
    <t>SUB TOTAL CONT 2</t>
  </si>
  <si>
    <t>Cont 2</t>
  </si>
  <si>
    <t>G0052</t>
  </si>
  <si>
    <t>KOZU TAKANARI</t>
  </si>
  <si>
    <t>FACTORY DIRECTOR</t>
  </si>
  <si>
    <t>G0035</t>
  </si>
  <si>
    <t>Attn: Mr. Kozu Takanari - FD</t>
  </si>
  <si>
    <t>CONT/SEAL NO 2 (40'):</t>
  </si>
  <si>
    <t>D0166</t>
  </si>
  <si>
    <t>0617-115-1</t>
  </si>
  <si>
    <t>618-1005-03</t>
  </si>
  <si>
    <t>G0041</t>
  </si>
  <si>
    <t>Test NW</t>
  </si>
  <si>
    <t>Test A/M</t>
  </si>
  <si>
    <t>ETD</t>
  </si>
  <si>
    <t>ETA</t>
  </si>
  <si>
    <t>G0065</t>
  </si>
  <si>
    <t>G0037</t>
  </si>
  <si>
    <t>D0188</t>
  </si>
  <si>
    <t>D0131</t>
  </si>
  <si>
    <t>D0134</t>
  </si>
  <si>
    <t>G0036</t>
  </si>
  <si>
    <t>D0010</t>
  </si>
  <si>
    <t>G0068</t>
  </si>
  <si>
    <t>G0023</t>
  </si>
  <si>
    <t>D0091</t>
  </si>
  <si>
    <t>D0092</t>
  </si>
  <si>
    <t>D0135</t>
  </si>
  <si>
    <t>0615-1034-1</t>
  </si>
  <si>
    <t>0617-130-2</t>
  </si>
  <si>
    <t>0617-1006-1</t>
  </si>
  <si>
    <t>0615-1023</t>
  </si>
  <si>
    <t>0617-1007-1</t>
  </si>
  <si>
    <t>0617-1005-1</t>
  </si>
  <si>
    <t>0615-1022</t>
  </si>
  <si>
    <t>0615-1018-1</t>
  </si>
  <si>
    <t>0615-478</t>
  </si>
  <si>
    <t>D0191</t>
  </si>
  <si>
    <t>G0066</t>
  </si>
  <si>
    <t>G0040</t>
  </si>
  <si>
    <t>1~8</t>
  </si>
  <si>
    <t>SUB TOTAL CONT 3</t>
  </si>
  <si>
    <t>Cont 3</t>
  </si>
  <si>
    <t>CONT/SEAL NO 3 (40'):</t>
  </si>
  <si>
    <t>D0189</t>
  </si>
  <si>
    <t>D0009</t>
  </si>
  <si>
    <t>G0004</t>
  </si>
  <si>
    <t xml:space="preserve">August </t>
  </si>
  <si>
    <t>0617-116-3</t>
  </si>
  <si>
    <t>SUB TOTAL CONT 4</t>
  </si>
  <si>
    <t>Cont 4</t>
  </si>
  <si>
    <t>CONT/SEAL NO 4 (40'):</t>
  </si>
  <si>
    <t>G0063</t>
  </si>
  <si>
    <t>G0003</t>
  </si>
  <si>
    <t>D0089</t>
  </si>
  <si>
    <t>D0090</t>
  </si>
  <si>
    <t>D0209</t>
  </si>
  <si>
    <t>D0210</t>
  </si>
  <si>
    <t>D0212</t>
  </si>
  <si>
    <t xml:space="preserve">August  </t>
  </si>
  <si>
    <t>0615-423-1</t>
  </si>
  <si>
    <t>9~16</t>
  </si>
  <si>
    <t>17~24</t>
  </si>
  <si>
    <t>0615-426-2</t>
  </si>
  <si>
    <t>1~5</t>
  </si>
  <si>
    <t>D0067</t>
  </si>
  <si>
    <t>D0146</t>
  </si>
  <si>
    <t>D0184</t>
  </si>
  <si>
    <t>D0186</t>
  </si>
  <si>
    <t>G0029</t>
  </si>
  <si>
    <t>D0137</t>
  </si>
  <si>
    <t>D0205</t>
  </si>
  <si>
    <t>D0211</t>
  </si>
  <si>
    <t>D0213</t>
  </si>
  <si>
    <t>D0012</t>
  </si>
  <si>
    <t>G0049</t>
  </si>
  <si>
    <t>G0050</t>
  </si>
  <si>
    <t>G0062</t>
  </si>
  <si>
    <t>G0043</t>
  </si>
  <si>
    <t>G0033</t>
  </si>
  <si>
    <t>G0044</t>
  </si>
  <si>
    <t>G0022</t>
  </si>
  <si>
    <t>June 15th 2026</t>
  </si>
  <si>
    <t>0616-0019</t>
  </si>
  <si>
    <t>0615-1017</t>
  </si>
  <si>
    <t>0617-129-1</t>
  </si>
  <si>
    <t>1~3</t>
  </si>
  <si>
    <t>0614-291-1</t>
  </si>
  <si>
    <t>0615-481</t>
  </si>
  <si>
    <t>0616-301-1</t>
  </si>
  <si>
    <t>0616-1009</t>
  </si>
  <si>
    <t>0615-1020</t>
  </si>
  <si>
    <t>6~12</t>
  </si>
  <si>
    <t>13~14</t>
  </si>
  <si>
    <t>/ 04x40' conts</t>
  </si>
  <si>
    <t>CONT/SEAL NO 1 (40'):</t>
  </si>
  <si>
    <t xml:space="preserve">19th </t>
  </si>
  <si>
    <t xml:space="preserve">23rd </t>
  </si>
  <si>
    <t>HF LUCKY 2617S</t>
  </si>
  <si>
    <t>D0071</t>
  </si>
  <si>
    <t>D0085</t>
  </si>
  <si>
    <t>G0064</t>
  </si>
  <si>
    <t>G0005</t>
  </si>
  <si>
    <t>D0122</t>
  </si>
  <si>
    <t>D0163</t>
  </si>
  <si>
    <t>D0164</t>
  </si>
  <si>
    <t>D0206</t>
  </si>
  <si>
    <t>D0207</t>
  </si>
  <si>
    <t>D0208</t>
  </si>
  <si>
    <t>112602939:2, 112603652:6</t>
  </si>
  <si>
    <t>112603639:4, 112603663:10</t>
  </si>
  <si>
    <t>112603640:10, 112603660:5</t>
  </si>
  <si>
    <t>112603640:10, 112603660:10</t>
  </si>
  <si>
    <t>112603640:11, 112603660:5</t>
  </si>
  <si>
    <t>112603638:10, 112603662:20</t>
  </si>
  <si>
    <t>112603657:5, 112603664:1</t>
  </si>
  <si>
    <t>112603663:5, 112604328:5</t>
  </si>
  <si>
    <t>112603620:2, 112603663:17</t>
  </si>
  <si>
    <t>112603655:7, 112603663:5</t>
  </si>
  <si>
    <t>CMV/INV26-103</t>
  </si>
  <si>
    <t>112602255;3429,3620,3655,3663</t>
  </si>
  <si>
    <t>0617-0011-1</t>
  </si>
  <si>
    <t>0615-1002</t>
  </si>
  <si>
    <t>0615-1003-1</t>
  </si>
  <si>
    <t>1~2</t>
  </si>
  <si>
    <t>3~6</t>
  </si>
  <si>
    <t>7~11</t>
  </si>
  <si>
    <t>12~19</t>
  </si>
  <si>
    <t>0613-238-2</t>
  </si>
  <si>
    <t>0616-425-2</t>
  </si>
  <si>
    <t>0616-1001-1</t>
  </si>
  <si>
    <t>0616-1002</t>
  </si>
  <si>
    <t>15~27</t>
  </si>
  <si>
    <t>4~11</t>
  </si>
  <si>
    <t>12~27</t>
  </si>
  <si>
    <t>EHPH26086690</t>
  </si>
  <si>
    <t>CAIU4156879</t>
  </si>
  <si>
    <t>FCXU0014623</t>
  </si>
  <si>
    <t>GVTU4038481</t>
  </si>
  <si>
    <t>TCNU4996836</t>
  </si>
  <si>
    <t>/SITB145441</t>
  </si>
  <si>
    <t>/SITR993053</t>
  </si>
  <si>
    <t>/SITR993058</t>
  </si>
  <si>
    <t>/SITB133093</t>
  </si>
  <si>
    <t>618-089-4F</t>
  </si>
  <si>
    <t>618-1005-03F</t>
  </si>
  <si>
    <t>617-116-9R</t>
  </si>
  <si>
    <t>615-478-4R</t>
  </si>
  <si>
    <t>615-509-5R</t>
  </si>
  <si>
    <t>617-123-6R</t>
  </si>
  <si>
    <t>616-432-6R</t>
  </si>
  <si>
    <t>616-398-5R</t>
  </si>
  <si>
    <t>615-510R</t>
  </si>
  <si>
    <t>616-416-5R</t>
  </si>
  <si>
    <t>617-130-4R</t>
  </si>
  <si>
    <t>616-419-5R</t>
  </si>
  <si>
    <t>616-417-8R</t>
  </si>
  <si>
    <t>616-1019-01R</t>
  </si>
  <si>
    <t>616-415-5R</t>
  </si>
  <si>
    <t>615-425-6R</t>
  </si>
  <si>
    <t>615-1085-00R</t>
  </si>
  <si>
    <t>615-1086-01R</t>
  </si>
  <si>
    <t>616-1015-02R</t>
  </si>
  <si>
    <t>616-1016-01R</t>
  </si>
  <si>
    <t>616-1017-02R</t>
  </si>
  <si>
    <t>616-1018-00R</t>
  </si>
  <si>
    <t>616-1020-01R</t>
  </si>
  <si>
    <t>RM BODY L12</t>
  </si>
  <si>
    <t>BED L220E</t>
  </si>
  <si>
    <t>BED L32</t>
  </si>
  <si>
    <t>BED L212</t>
  </si>
  <si>
    <t>BED R50140</t>
  </si>
  <si>
    <t>BED L320E</t>
  </si>
  <si>
    <t>BED L232</t>
  </si>
  <si>
    <t>MOTOR BRACKET</t>
  </si>
  <si>
    <t>CROSS SLIDE</t>
  </si>
  <si>
    <t>BASE L220E</t>
  </si>
  <si>
    <t>Z2 SLIDE</t>
  </si>
  <si>
    <t>HEAD STOCK</t>
  </si>
  <si>
    <t>TOOL POST</t>
  </si>
  <si>
    <t>X SLIDE</t>
  </si>
  <si>
    <t>BACK HEAD STOCK</t>
  </si>
  <si>
    <t>CHUCKING LEVER A320N</t>
  </si>
  <si>
    <t>SLEEVE HOLDER</t>
  </si>
  <si>
    <t>HEAD STOCK BRACKET</t>
  </si>
  <si>
    <t>HEAD STOCK L32</t>
  </si>
  <si>
    <t>TOOL POST L32</t>
  </si>
  <si>
    <t>X1 SLIDE L32</t>
  </si>
  <si>
    <t>Z2 SLIDE L32</t>
  </si>
  <si>
    <t>Y2 AXIS BASE L32</t>
  </si>
  <si>
    <t>Y2 AXIS BASE</t>
  </si>
  <si>
    <t xml:space="preserve">HEAD STOCK </t>
  </si>
  <si>
    <t>MOTOR HOUSING</t>
  </si>
  <si>
    <t>CROSS SLIDE L32</t>
  </si>
  <si>
    <t>RM CHUCKING LEVER</t>
  </si>
  <si>
    <t>CHUCKING LEVER L32</t>
  </si>
  <si>
    <t>TOOL POST L212</t>
  </si>
  <si>
    <t>CROSS SLIDE L212</t>
  </si>
  <si>
    <t>SLIDE BASE L212</t>
  </si>
  <si>
    <t>Z2 SLIDE L212</t>
  </si>
  <si>
    <t>HEAD STOCK L212</t>
  </si>
  <si>
    <t xml:space="preserve">CROSS SLIDE </t>
  </si>
  <si>
    <t>Y2 SLIDE BASE</t>
  </si>
  <si>
    <t>BACK HEAD STOCK L320E</t>
  </si>
  <si>
    <t>HEADSTOCK</t>
  </si>
  <si>
    <t>BACK HEADSTOCK</t>
  </si>
  <si>
    <t>X1 SLIDE</t>
  </si>
  <si>
    <t xml:space="preserve">Y2 SLIDE </t>
  </si>
  <si>
    <t>Contract (P.O) No.: 112602255;3429,3620,3655,3663</t>
  </si>
  <si>
    <t>CMV</t>
  </si>
  <si>
    <t>Code No. (CMV)</t>
  </si>
  <si>
    <t>Code Name (CMV)</t>
  </si>
  <si>
    <t>Code Name (CMA)</t>
  </si>
  <si>
    <t>grp_no</t>
  </si>
  <si>
    <t>upm</t>
  </si>
  <si>
    <t>upm IC</t>
  </si>
  <si>
    <t>Remark</t>
  </si>
  <si>
    <t>ใส่ข้อมูล</t>
  </si>
  <si>
    <t>ผลลัพธ์</t>
  </si>
  <si>
    <t>UOM</t>
  </si>
  <si>
    <t>Group_No</t>
  </si>
  <si>
    <t>Column1</t>
  </si>
  <si>
    <t>615-1036C</t>
  </si>
  <si>
    <t>BACK 4 SLEEVE HOLDER</t>
  </si>
  <si>
    <t>BACK 4-SLEEVE HOLDER</t>
  </si>
  <si>
    <t>615-510A</t>
  </si>
  <si>
    <t>615-408-1C</t>
  </si>
  <si>
    <t>BACK HEAD STOCK L20</t>
  </si>
  <si>
    <t>616-357-3C</t>
  </si>
  <si>
    <t>BACK SPINDLE BASE L32</t>
  </si>
  <si>
    <t>614-291-1C</t>
  </si>
  <si>
    <t>GUIDE BUSH BASE</t>
  </si>
  <si>
    <t>000213</t>
  </si>
  <si>
    <t>614-291-1</t>
  </si>
  <si>
    <t>BASE</t>
  </si>
  <si>
    <t>618-084-12</t>
  </si>
  <si>
    <t>BED FOR L220E</t>
  </si>
  <si>
    <t>BED</t>
  </si>
  <si>
    <t>618-084-2C</t>
  </si>
  <si>
    <t>618-1001-4C</t>
  </si>
  <si>
    <t>618-087-2C</t>
  </si>
  <si>
    <t>618-1002-1C</t>
  </si>
  <si>
    <t>613-242C</t>
  </si>
  <si>
    <t>BLOCK A320N</t>
  </si>
  <si>
    <t>615-470C</t>
  </si>
  <si>
    <t>BRACKET</t>
  </si>
  <si>
    <t>615-512-1C</t>
  </si>
  <si>
    <t>616-396-2C</t>
  </si>
  <si>
    <t>614-286-1C</t>
  </si>
  <si>
    <t>BRACKET 1/2 L12</t>
  </si>
  <si>
    <t>615-467-1C</t>
  </si>
  <si>
    <t>616-370-1C</t>
  </si>
  <si>
    <t>BRACKET B1216E</t>
  </si>
  <si>
    <t>616-385C</t>
  </si>
  <si>
    <t>BRACKET L12</t>
  </si>
  <si>
    <t>614-220C</t>
  </si>
  <si>
    <t>CHUCKING LEVER  L12</t>
  </si>
  <si>
    <t>614-272-1C</t>
  </si>
  <si>
    <t>CHUCKING LEVER</t>
  </si>
  <si>
    <t>615-481C</t>
  </si>
  <si>
    <t>615-426-2C</t>
  </si>
  <si>
    <t>616-398-4A</t>
  </si>
  <si>
    <t>617-116-2C</t>
  </si>
  <si>
    <t>617-116-8A</t>
  </si>
  <si>
    <t>617-116-9A</t>
  </si>
  <si>
    <t>617-118-2C</t>
  </si>
  <si>
    <t>CROSS SLIDE  L220E</t>
  </si>
  <si>
    <t>616-240C</t>
  </si>
  <si>
    <t>CROSS SLIDE B1216E</t>
  </si>
  <si>
    <t>616-386-1C</t>
  </si>
  <si>
    <t>CROSS SLIDE FOR L12</t>
  </si>
  <si>
    <t>616-387-3C</t>
  </si>
  <si>
    <t>CROSS SLIDE FOR L220E</t>
  </si>
  <si>
    <t>617-118-7A</t>
  </si>
  <si>
    <t>CROSS SLIDE L12</t>
  </si>
  <si>
    <t>616-0019C</t>
  </si>
  <si>
    <t>616-1001-1C</t>
  </si>
  <si>
    <t>CROSS SLIDE L220E</t>
  </si>
  <si>
    <t>617-129-1C</t>
  </si>
  <si>
    <t>615-516-1C</t>
  </si>
  <si>
    <t>GUIDE BUSH BASE L32</t>
  </si>
  <si>
    <t>615-509-4A</t>
  </si>
  <si>
    <t>616-413-1C</t>
  </si>
  <si>
    <t>616-413-3A</t>
  </si>
  <si>
    <t>615-471C</t>
  </si>
  <si>
    <t>HEAD STOCK B1216E</t>
  </si>
  <si>
    <t>615-479C</t>
  </si>
  <si>
    <t>615-480-2</t>
  </si>
  <si>
    <t>สมัยก่อนใช้ HEAD STOCK</t>
  </si>
  <si>
    <t>615-521-1C</t>
  </si>
  <si>
    <t>HEAD STOCK BRACKET L32</t>
  </si>
  <si>
    <t>615-468-2C</t>
  </si>
  <si>
    <t>HEAD STOCK FOR L12</t>
  </si>
  <si>
    <t>616-388C</t>
  </si>
  <si>
    <t>HEAD STOCK L12</t>
  </si>
  <si>
    <t>615-1003-1C</t>
  </si>
  <si>
    <t>615-507-2C</t>
  </si>
  <si>
    <t>HEAD STOCK L220E</t>
  </si>
  <si>
    <t>616-416-5A</t>
  </si>
  <si>
    <t>614-290C</t>
  </si>
  <si>
    <t>LEVER BRACKET L12</t>
  </si>
  <si>
    <t>613-238-2C</t>
  </si>
  <si>
    <t>613-256-2C</t>
  </si>
  <si>
    <t>615-425-6A</t>
  </si>
  <si>
    <t>615-425-2C</t>
  </si>
  <si>
    <t>MOTOR HOUSING A32</t>
  </si>
  <si>
    <t>MOTOR HOUSING FOR A32</t>
  </si>
  <si>
    <t>617-107-1C</t>
  </si>
  <si>
    <t>RM BODY B1216</t>
  </si>
  <si>
    <t>618-081-4C</t>
  </si>
  <si>
    <t>BODY</t>
  </si>
  <si>
    <t>615-423-1C</t>
  </si>
  <si>
    <t>616-0015-1C</t>
  </si>
  <si>
    <t>RM CROSS SLIDE</t>
  </si>
  <si>
    <t>613-247C</t>
  </si>
  <si>
    <t>SEAL HOLDER A320N</t>
  </si>
  <si>
    <t>SEAL HOLDER</t>
  </si>
  <si>
    <t>999999</t>
  </si>
  <si>
    <t>C62</t>
  </si>
  <si>
    <t>NON-BOI</t>
  </si>
  <si>
    <t>616-301-1C</t>
  </si>
  <si>
    <t>615-465C</t>
  </si>
  <si>
    <t xml:space="preserve">SLEEVE HOLDER </t>
  </si>
  <si>
    <t>642-125C</t>
  </si>
  <si>
    <t>SLEEVE HOLDER L12</t>
  </si>
  <si>
    <t>615-200C</t>
  </si>
  <si>
    <t>SLIDE BASE B1216E</t>
  </si>
  <si>
    <t>SLIDE BASE</t>
  </si>
  <si>
    <t>616-1002C</t>
  </si>
  <si>
    <t>617-117-16A</t>
  </si>
  <si>
    <t>617-117-17A</t>
  </si>
  <si>
    <t>617-117-2C</t>
  </si>
  <si>
    <t>617-106-1C</t>
  </si>
  <si>
    <t>TOOL POST B1216E</t>
  </si>
  <si>
    <t>617-112-1C</t>
  </si>
  <si>
    <t>TOOL POST L12</t>
  </si>
  <si>
    <t>617-0011-1C</t>
  </si>
  <si>
    <t>617-130-2C</t>
  </si>
  <si>
    <t>616-432-6A</t>
  </si>
  <si>
    <t>X-SLIDE</t>
  </si>
  <si>
    <t>615-464-2C</t>
  </si>
  <si>
    <t>X SLIDE FOR L12</t>
  </si>
  <si>
    <t>X SLIDE L12</t>
  </si>
  <si>
    <t>615-486-12A</t>
  </si>
  <si>
    <t>X SLIDE L220E</t>
  </si>
  <si>
    <t>615-486C</t>
  </si>
  <si>
    <t>616-419-5A</t>
  </si>
  <si>
    <t>616-157C</t>
  </si>
  <si>
    <t>X-SLIDE B1216E</t>
  </si>
  <si>
    <t>616-354-3C</t>
  </si>
  <si>
    <t>Y SLIDE BASE</t>
  </si>
  <si>
    <t>Y-SLIDE</t>
  </si>
  <si>
    <t>Add-09/05/2026</t>
  </si>
  <si>
    <t>616-425-2C</t>
  </si>
  <si>
    <t>Y2 AXIS BASE L32B</t>
  </si>
  <si>
    <t>615-511-5A</t>
  </si>
  <si>
    <t>Y2 SLIDE BASE FOR L220E</t>
  </si>
  <si>
    <t>WIP BACK HEAD STOCK</t>
  </si>
  <si>
    <t>615-511C</t>
  </si>
  <si>
    <t>รอเช็คเวียดนามเปิดชื่อมาผิด</t>
  </si>
  <si>
    <t>Y2 SLIDE BASE L220E</t>
  </si>
  <si>
    <t>615-478-4A</t>
  </si>
  <si>
    <t>615-478C</t>
  </si>
  <si>
    <t>614-285-2C</t>
  </si>
  <si>
    <t>Z2 SLIDE FOR L12</t>
  </si>
  <si>
    <t>Z2 SLIDE L12</t>
  </si>
  <si>
    <t>615-1002C</t>
  </si>
  <si>
    <t>615-484-3A</t>
  </si>
  <si>
    <t>Z2 SLIDE L220E</t>
  </si>
  <si>
    <t>615-484C</t>
  </si>
  <si>
    <t>616-417-8A</t>
  </si>
  <si>
    <t>RM BODY</t>
  </si>
  <si>
    <t>ชื่อใน PO ไม่ใส่ Model มา เริ่ม CMV/INV23-129</t>
  </si>
  <si>
    <t>615-509-5A</t>
  </si>
  <si>
    <t>617-123-5A</t>
  </si>
  <si>
    <t>616-398-5A</t>
  </si>
  <si>
    <t>617-1007-1C</t>
  </si>
  <si>
    <t>616-1009C</t>
  </si>
  <si>
    <t>615-1020C</t>
  </si>
  <si>
    <t>615-1034-1C</t>
  </si>
  <si>
    <t>HEAD STOCK BRACKET A320N</t>
  </si>
  <si>
    <t>HEAD STOCK BRACKET L320E</t>
  </si>
  <si>
    <t>0617-128-2</t>
  </si>
  <si>
    <t>BRACKET L32</t>
  </si>
  <si>
    <t>update 27-02-2025</t>
  </si>
  <si>
    <t>0616-424-1</t>
  </si>
  <si>
    <t>Y2 AXIS SLIDE L32</t>
  </si>
  <si>
    <t>0614-1008</t>
  </si>
  <si>
    <t>BLOCK</t>
  </si>
  <si>
    <t>update 21-03-2025</t>
  </si>
  <si>
    <t>0615-1021-1</t>
  </si>
  <si>
    <t>BACK HEAD STOCK BRACKET</t>
  </si>
  <si>
    <t>UPDATE 26-03-2025</t>
  </si>
  <si>
    <t>เริ่มนำเข้า Inv. CMV/INV26-070 16/6/26</t>
  </si>
  <si>
    <t>0614-290</t>
  </si>
  <si>
    <t>LEVER BRACKET</t>
  </si>
  <si>
    <t>เริ่มนำเข้า Inv. CMV/INV26-087 14/07/26</t>
  </si>
  <si>
    <t>BACK SPINDLE BASE</t>
  </si>
  <si>
    <t>เริ่มนำเข้า Inv. CMV/INV26-087 14/07/27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</si>
</sst>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* #,##0_);_(* \(#,##0\);_(* &quot;-&quot;??_);_(@_)"/>
    <numFmt numFmtId="166" formatCode="#,##0.0"/>
    <numFmt numFmtId="167" formatCode="[$JPY]\ #,##0.00"/>
    <numFmt numFmtId="168" formatCode="#,##0.000"/>
    <numFmt numFmtId="169" formatCode="_([$KGS]\ * #,##0.0_);_([$KGS]\ * \(#,##0.0\);_([$KGS]\ * &quot;-&quot;?_);_(@_)"/>
    <numFmt numFmtId="170" formatCode="0.000"/>
    <numFmt numFmtId="171" formatCode="[$-409]mmmm\ d\,\ yyyy;@"/>
  </numFmts>
  <fonts count="21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4"/>
      <name val="Times New Roman"/>
      <family val="1"/>
    </font>
    <font>
      <sz val="14"/>
      <name val="Times New Roman"/>
      <family val="1"/>
    </font>
    <font>
      <sz val="14"/>
      <name val="Times New Roman"/>
      <family val="1"/>
    </font>
    <font>
      <sz val="14"/>
      <name val="Times New Roman"/>
      <family val="1"/>
    </font>
    <font>
      <sz val="14"/>
      <name val="Times New Roman"/>
      <family val="1"/>
    </font>
    <font>
      <sz val="10"/>
      <color theme="1"/>
      <name val=".VnArial"/>
      <family val="2"/>
    </font>
    <font>
      <sz val="8"/>
      <name val="Arial"/>
      <family val="2"/>
    </font>
    <font>
      <b/>
      <sz val="11"/>
      <name val="Noto Sans JP"/>
      <family val="2"/>
    </font>
    <font>
      <sz val="11"/>
      <name val="Noto Sans JP"/>
      <family val="2"/>
    </font>
    <font>
      <sz val="11"/>
      <color indexed="8"/>
      <name val="Noto Sans JP"/>
      <family val="2"/>
    </font>
    <font>
      <i/>
      <sz val="11"/>
      <name val="Noto Sans JP"/>
      <family val="2"/>
    </font>
    <font>
      <i/>
      <sz val="11"/>
      <color indexed="10"/>
      <name val="Noto Sans JP"/>
      <family val="2"/>
    </font>
    <font>
      <sz val="11"/>
      <color indexed="10"/>
      <name val="Noto Sans JP"/>
      <family val="2"/>
    </font>
    <font>
      <b/>
      <i/>
      <sz val="11"/>
      <name val="Noto Sans JP"/>
      <family val="2"/>
    </font>
    <font>
      <b/>
      <u/>
      <sz val="11"/>
      <name val="Noto Sans JP"/>
      <family val="2"/>
    </font>
    <font>
      <i/>
      <sz val="11"/>
      <color indexed="8"/>
      <name val="Noto Sans JP"/>
      <family val="2"/>
    </font>
    <font>
      <sz val="10"/>
      <name val="Noto Sans JP"/>
      <family val="2"/>
    </font>
    <font>
      <b/>
      <sz val="10"/>
      <name val="Noto Sans JP"/>
      <family val="2"/>
    </font>
    <font>
      <b/>
      <sz val="11"/>
      <color indexed="8"/>
      <name val="Noto Sans JP"/>
      <family val="2"/>
    </font>
    <font>
      <sz val="10"/>
      <color indexed="8"/>
      <name val="Noto Sans JP"/>
      <family val="2"/>
    </font>
    <font>
      <b/>
      <sz val="14"/>
      <name val="Noto Sans JP"/>
      <family val="2"/>
    </font>
    <font>
      <i/>
      <sz val="10"/>
      <color indexed="10"/>
      <name val="Noto Sans JP"/>
      <family val="2"/>
    </font>
    <font>
      <i/>
      <sz val="10"/>
      <name val="Noto Sans JP"/>
      <family val="2"/>
    </font>
    <font>
      <i/>
      <sz val="10"/>
      <color rgb="FFFF0000"/>
      <name val="Noto Sans JP"/>
      <family val="2"/>
    </font>
    <font>
      <sz val="10"/>
      <color indexed="10"/>
      <name val="Noto Sans JP"/>
      <family val="2"/>
    </font>
    <font>
      <sz val="10"/>
      <color theme="1"/>
      <name val="Noto Sans JP"/>
      <family val="2"/>
    </font>
    <font>
      <b/>
      <i/>
      <sz val="10"/>
      <name val="Noto Sans JP"/>
      <family val="2"/>
    </font>
    <font>
      <b/>
      <u/>
      <sz val="10"/>
      <name val="Noto Sans JP"/>
      <family val="2"/>
    </font>
    <font>
      <i/>
      <sz val="10"/>
      <color indexed="8"/>
      <name val="Noto Sans JP"/>
      <family val="2"/>
    </font>
    <font>
      <b/>
      <i/>
      <sz val="10"/>
      <color indexed="8"/>
      <name val="Noto Sans JP"/>
      <family val="2"/>
    </font>
    <font>
      <b/>
      <u/>
      <sz val="10"/>
      <color indexed="10"/>
      <name val="Noto Sans JP"/>
      <family val="2"/>
    </font>
    <font>
      <sz val="9"/>
      <name val="Noto Sans JP"/>
      <family val="2"/>
    </font>
    <font>
      <b/>
      <sz val="10"/>
      <color rgb="FF000000"/>
      <name val="Noto Sans JP"/>
      <family val="2"/>
    </font>
    <font>
      <sz val="10"/>
      <name val="Noto Sans JP"/>
      <family val="3"/>
      <charset val="128"/>
    </font>
    <font>
      <sz val="10"/>
      <color theme="1" tint="0.249977111117893"/>
      <name val="Noto Sans JP"/>
      <family val="2"/>
    </font>
    <font>
      <b/>
      <sz val="11"/>
      <color theme="1" tint="0.249977111117893"/>
      <name val="Noto Sans JP"/>
      <family val="2"/>
    </font>
    <font>
      <sz val="11"/>
      <color theme="1" tint="0.249977111117893"/>
      <name val="Noto Sans JP"/>
      <family val="2"/>
    </font>
    <font>
      <b/>
      <sz val="10"/>
      <color theme="1" tint="0.249977111117893"/>
      <name val="Noto Sans JP"/>
      <family val="2"/>
    </font>
    <font>
      <i/>
      <sz val="10"/>
      <color theme="1" tint="0.249977111117893"/>
      <name val="Noto Sans JP"/>
      <family val="2"/>
    </font>
    <font>
      <b/>
      <sz val="10"/>
      <color theme="1"/>
      <name val="Noto Sans JP"/>
      <family val="3"/>
      <charset val="128"/>
    </font>
    <font>
      <sz val="10"/>
      <name val="Calibri"/>
      <family val="2"/>
    </font>
    <font>
      <sz val="10"/>
      <name val="Times New Roman"/>
      <family val="1"/>
    </font>
    <font>
      <sz val="12"/>
      <name val="Times New Roman"/>
      <family val="1"/>
    </font>
    <font>
      <sz val="11.5"/>
      <name val="Noto Sans JP"/>
      <family val="2"/>
    </font>
    <font>
      <u/>
      <sz val="10"/>
      <name val="Noto Sans JP"/>
      <family val="2"/>
    </font>
    <font>
      <sz val="1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alibri"/>
      <family val="2"/>
      <charset val="22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95">
    <xf numFmtId="167" fontId="0" fillId="0" borderId="0"/>
    <xf numFmtId="164" fontId="163" fillId="0" borderId="0" applyFont="0" applyFill="0" applyBorder="0" applyAlignment="0" applyProtection="0"/>
    <xf numFmtId="167" fontId="164" fillId="0" borderId="0"/>
    <xf numFmtId="164" fontId="165" fillId="0" borderId="0" applyFont="0" applyFill="0" applyBorder="0" applyAlignment="0" applyProtection="0"/>
    <xf numFmtId="167" fontId="167" fillId="0" borderId="0"/>
    <xf numFmtId="167" fontId="166" fillId="0" borderId="0"/>
    <xf numFmtId="167" fontId="168" fillId="0" borderId="0"/>
    <xf numFmtId="167" fontId="164" fillId="0" borderId="0"/>
    <xf numFmtId="167" fontId="169" fillId="0" borderId="0"/>
    <xf numFmtId="167" fontId="170" fillId="0" borderId="0"/>
    <xf numFmtId="164" fontId="163" fillId="0" borderId="0" applyFont="0" applyFill="0" applyBorder="0" applyAlignment="0" applyProtection="0"/>
    <xf numFmtId="167" fontId="166" fillId="0" borderId="0"/>
    <xf numFmtId="167" fontId="166" fillId="0" borderId="0"/>
    <xf numFmtId="167" fontId="166" fillId="0" borderId="0"/>
    <xf numFmtId="167" fontId="166" fillId="0" borderId="0"/>
    <xf numFmtId="167" fontId="163" fillId="0" borderId="0"/>
    <xf numFmtId="0" fontId="166" fillId="0" borderId="0"/>
    <xf numFmtId="164" fontId="166" fillId="0" borderId="0" applyFont="0" applyFill="0" applyBorder="0" applyAlignment="0" applyProtection="0"/>
    <xf numFmtId="0" fontId="164" fillId="0" borderId="0">
      <alignment vertical="center"/>
    </xf>
    <xf numFmtId="0" fontId="162" fillId="0" borderId="0"/>
    <xf numFmtId="0" fontId="166" fillId="0" borderId="0"/>
    <xf numFmtId="164" fontId="166" fillId="0" borderId="0" applyFont="0" applyFill="0" applyBorder="0" applyAlignment="0" applyProtection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4" fillId="0" borderId="0"/>
    <xf numFmtId="0" fontId="153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171" fillId="0" borderId="0"/>
    <xf numFmtId="0" fontId="163" fillId="0" borderId="0"/>
    <xf numFmtId="169" fontId="163" fillId="0" borderId="0"/>
    <xf numFmtId="167" fontId="163" fillId="0" borderId="0"/>
    <xf numFmtId="0" fontId="163" fillId="0" borderId="0"/>
    <xf numFmtId="164" fontId="163" fillId="0" borderId="0" applyFont="0" applyFill="0" applyBorder="0" applyAlignment="0" applyProtection="0"/>
    <xf numFmtId="164" fontId="171" fillId="0" borderId="0" applyFont="0" applyFill="0" applyBorder="0" applyAlignment="0" applyProtection="0"/>
    <xf numFmtId="0" fontId="98" fillId="0" borderId="0"/>
    <xf numFmtId="0" fontId="166" fillId="0" borderId="0"/>
    <xf numFmtId="0" fontId="97" fillId="0" borderId="0"/>
    <xf numFmtId="0" fontId="96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214" fillId="0" borderId="0"/>
  </cellStyleXfs>
  <cellXfs count="415">
    <xf numFmtId="167" fontId="0" fillId="0" borderId="0" xfId="0"/>
    <xf numFmtId="167" fontId="173" fillId="0" borderId="0" xfId="0" applyFont="1" applyAlignment="1">
      <alignment horizontal="left"/>
    </xf>
    <xf numFmtId="167" fontId="173" fillId="0" borderId="0" xfId="0" applyFont="1"/>
    <xf numFmtId="167" fontId="174" fillId="0" borderId="0" xfId="0" applyFont="1"/>
    <xf numFmtId="166" fontId="175" fillId="0" borderId="0" xfId="0" applyNumberFormat="1" applyFont="1" applyAlignment="1">
      <alignment horizontal="center"/>
    </xf>
    <xf numFmtId="167" fontId="175" fillId="0" borderId="0" xfId="0" applyFont="1" applyAlignment="1">
      <alignment horizontal="center"/>
    </xf>
    <xf numFmtId="167" fontId="175" fillId="0" borderId="0" xfId="0" applyFont="1"/>
    <xf numFmtId="167" fontId="174" fillId="0" borderId="0" xfId="0" applyFont="1" applyAlignment="1">
      <alignment horizontal="left"/>
    </xf>
    <xf numFmtId="167" fontId="174" fillId="0" borderId="0" xfId="0" applyFont="1" applyAlignment="1">
      <alignment horizontal="center"/>
    </xf>
    <xf numFmtId="167" fontId="174" fillId="0" borderId="0" xfId="0" applyFont="1" applyAlignment="1">
      <alignment horizontal="centerContinuous"/>
    </xf>
    <xf numFmtId="167" fontId="173" fillId="0" borderId="0" xfId="0" applyFont="1" applyAlignment="1">
      <alignment horizontal="centerContinuous" vertical="center"/>
    </xf>
    <xf numFmtId="3" fontId="173" fillId="0" borderId="0" xfId="0" applyNumberFormat="1" applyFont="1" applyAlignment="1">
      <alignment horizontal="centerContinuous" vertical="center"/>
    </xf>
    <xf numFmtId="167" fontId="173" fillId="0" borderId="0" xfId="0" applyFont="1" applyAlignment="1">
      <alignment horizontal="right"/>
    </xf>
    <xf numFmtId="3" fontId="177" fillId="0" borderId="0" xfId="0" applyNumberFormat="1" applyFont="1" applyAlignment="1">
      <alignment horizontal="left"/>
    </xf>
    <xf numFmtId="15" fontId="174" fillId="0" borderId="0" xfId="0" applyNumberFormat="1" applyFont="1" applyAlignment="1">
      <alignment horizontal="left"/>
    </xf>
    <xf numFmtId="3" fontId="176" fillId="0" borderId="0" xfId="0" applyNumberFormat="1" applyFont="1" applyAlignment="1">
      <alignment horizontal="left"/>
    </xf>
    <xf numFmtId="15" fontId="178" fillId="0" borderId="0" xfId="0" applyNumberFormat="1" applyFont="1" applyAlignment="1">
      <alignment horizontal="left"/>
    </xf>
    <xf numFmtId="167" fontId="178" fillId="0" borderId="0" xfId="0" applyFont="1"/>
    <xf numFmtId="167" fontId="174" fillId="0" borderId="0" xfId="0" applyFont="1" applyAlignment="1">
      <alignment horizontal="right"/>
    </xf>
    <xf numFmtId="167" fontId="181" fillId="0" borderId="0" xfId="0" applyFont="1" applyAlignment="1">
      <alignment horizontal="center"/>
    </xf>
    <xf numFmtId="4" fontId="174" fillId="0" borderId="0" xfId="0" applyNumberFormat="1" applyFont="1"/>
    <xf numFmtId="3" fontId="174" fillId="0" borderId="0" xfId="0" applyNumberFormat="1" applyFont="1"/>
    <xf numFmtId="0" fontId="183" fillId="0" borderId="7" xfId="0" applyNumberFormat="1" applyFont="1" applyBorder="1" applyAlignment="1">
      <alignment horizontal="right"/>
    </xf>
    <xf numFmtId="0" fontId="183" fillId="0" borderId="0" xfId="0" applyNumberFormat="1" applyFont="1" applyAlignment="1">
      <alignment horizontal="right"/>
    </xf>
    <xf numFmtId="4" fontId="182" fillId="0" borderId="0" xfId="0" applyNumberFormat="1" applyFont="1"/>
    <xf numFmtId="166" fontId="182" fillId="0" borderId="0" xfId="0" applyNumberFormat="1" applyFont="1" applyAlignment="1">
      <alignment horizontal="right"/>
    </xf>
    <xf numFmtId="167" fontId="174" fillId="0" borderId="0" xfId="0" applyFont="1" applyAlignment="1">
      <alignment horizontal="center" vertical="center"/>
    </xf>
    <xf numFmtId="167" fontId="174" fillId="0" borderId="0" xfId="0" applyFont="1" applyAlignment="1">
      <alignment horizontal="left" vertical="center"/>
    </xf>
    <xf numFmtId="167" fontId="174" fillId="0" borderId="0" xfId="0" applyFont="1" applyAlignment="1">
      <alignment vertical="center"/>
    </xf>
    <xf numFmtId="3" fontId="174" fillId="0" borderId="0" xfId="0" applyNumberFormat="1" applyFont="1" applyAlignment="1">
      <alignment horizontal="center" vertical="center"/>
    </xf>
    <xf numFmtId="164" fontId="182" fillId="0" borderId="0" xfId="1" applyFont="1"/>
    <xf numFmtId="167" fontId="173" fillId="0" borderId="0" xfId="0" applyFont="1" applyAlignment="1">
      <alignment horizontal="center" vertical="center"/>
    </xf>
    <xf numFmtId="167" fontId="182" fillId="0" borderId="0" xfId="0" applyFont="1" applyAlignment="1">
      <alignment horizontal="center" vertical="center"/>
    </xf>
    <xf numFmtId="167" fontId="179" fillId="0" borderId="0" xfId="0" applyFont="1" applyAlignment="1">
      <alignment vertical="center"/>
    </xf>
    <xf numFmtId="167" fontId="174" fillId="0" borderId="0" xfId="0" applyFont="1" applyAlignment="1">
      <alignment horizontal="centerContinuous" vertical="center"/>
    </xf>
    <xf numFmtId="166" fontId="174" fillId="0" borderId="0" xfId="0" applyNumberFormat="1" applyFont="1" applyAlignment="1">
      <alignment horizontal="center"/>
    </xf>
    <xf numFmtId="167" fontId="174" fillId="0" borderId="0" xfId="0" applyFont="1" applyAlignment="1">
      <alignment horizontal="left" indent="1"/>
    </xf>
    <xf numFmtId="167" fontId="175" fillId="0" borderId="0" xfId="0" applyFont="1" applyAlignment="1">
      <alignment horizontal="left" indent="1"/>
    </xf>
    <xf numFmtId="167" fontId="173" fillId="0" borderId="0" xfId="0" applyFont="1" applyAlignment="1">
      <alignment horizontal="centerContinuous"/>
    </xf>
    <xf numFmtId="3" fontId="174" fillId="0" borderId="0" xfId="0" applyNumberFormat="1" applyFont="1" applyAlignment="1">
      <alignment horizontal="centerContinuous"/>
    </xf>
    <xf numFmtId="167" fontId="180" fillId="0" borderId="0" xfId="0" applyFont="1" applyAlignment="1">
      <alignment horizontal="centerContinuous"/>
    </xf>
    <xf numFmtId="167" fontId="180" fillId="0" borderId="0" xfId="0" applyFont="1" applyAlignment="1">
      <alignment horizontal="left" vertical="center"/>
    </xf>
    <xf numFmtId="167" fontId="184" fillId="0" borderId="0" xfId="0" applyFont="1" applyAlignment="1">
      <alignment horizontal="center"/>
    </xf>
    <xf numFmtId="3" fontId="173" fillId="0" borderId="0" xfId="0" applyNumberFormat="1" applyFont="1" applyAlignment="1">
      <alignment horizontal="center" vertical="center"/>
    </xf>
    <xf numFmtId="167" fontId="179" fillId="0" borderId="0" xfId="0" applyFont="1" applyAlignment="1">
      <alignment horizontal="center" vertical="center"/>
    </xf>
    <xf numFmtId="3" fontId="179" fillId="0" borderId="0" xfId="0" applyNumberFormat="1" applyFont="1" applyAlignment="1">
      <alignment horizontal="center" vertical="center"/>
    </xf>
    <xf numFmtId="3" fontId="174" fillId="0" borderId="0" xfId="3" applyNumberFormat="1" applyFont="1" applyBorder="1"/>
    <xf numFmtId="4" fontId="174" fillId="0" borderId="0" xfId="3" applyNumberFormat="1" applyFont="1" applyBorder="1"/>
    <xf numFmtId="167" fontId="173" fillId="0" borderId="0" xfId="0" applyFont="1" applyAlignment="1">
      <alignment horizontal="right" vertical="center"/>
    </xf>
    <xf numFmtId="167" fontId="173" fillId="0" borderId="0" xfId="0" applyFont="1" applyAlignment="1">
      <alignment horizontal="left" vertical="center"/>
    </xf>
    <xf numFmtId="3" fontId="173" fillId="0" borderId="0" xfId="0" applyNumberFormat="1" applyFont="1" applyAlignment="1">
      <alignment horizontal="right" vertical="center"/>
    </xf>
    <xf numFmtId="165" fontId="174" fillId="0" borderId="0" xfId="3" applyNumberFormat="1" applyFont="1" applyBorder="1"/>
    <xf numFmtId="167" fontId="174" fillId="2" borderId="0" xfId="0" applyFont="1" applyFill="1" applyAlignment="1">
      <alignment vertical="center"/>
    </xf>
    <xf numFmtId="167" fontId="174" fillId="2" borderId="0" xfId="0" applyFont="1" applyFill="1"/>
    <xf numFmtId="167" fontId="174" fillId="2" borderId="0" xfId="0" applyFont="1" applyFill="1" applyAlignment="1">
      <alignment horizontal="center"/>
    </xf>
    <xf numFmtId="3" fontId="174" fillId="2" borderId="0" xfId="3" applyNumberFormat="1" applyFont="1" applyFill="1" applyBorder="1"/>
    <xf numFmtId="165" fontId="174" fillId="2" borderId="0" xfId="3" applyNumberFormat="1" applyFont="1" applyFill="1" applyBorder="1"/>
    <xf numFmtId="167" fontId="182" fillId="0" borderId="0" xfId="0" applyFont="1" applyAlignment="1">
      <alignment horizontal="left"/>
    </xf>
    <xf numFmtId="167" fontId="182" fillId="0" borderId="0" xfId="0" applyFont="1" applyAlignment="1">
      <alignment horizontal="center"/>
    </xf>
    <xf numFmtId="167" fontId="182" fillId="0" borderId="0" xfId="0" applyFont="1"/>
    <xf numFmtId="167" fontId="182" fillId="0" borderId="0" xfId="0" applyFont="1" applyAlignment="1">
      <alignment horizontal="centerContinuous"/>
    </xf>
    <xf numFmtId="167" fontId="185" fillId="0" borderId="0" xfId="0" applyFont="1"/>
    <xf numFmtId="166" fontId="185" fillId="0" borderId="0" xfId="0" applyNumberFormat="1" applyFont="1" applyAlignment="1">
      <alignment horizontal="center"/>
    </xf>
    <xf numFmtId="167" fontId="185" fillId="0" borderId="0" xfId="0" applyFont="1" applyAlignment="1">
      <alignment horizontal="center"/>
    </xf>
    <xf numFmtId="167" fontId="182" fillId="0" borderId="5" xfId="0" applyFont="1" applyBorder="1" applyAlignment="1">
      <alignment horizontal="left"/>
    </xf>
    <xf numFmtId="167" fontId="182" fillId="0" borderId="5" xfId="0" applyFont="1" applyBorder="1" applyAlignment="1">
      <alignment horizontal="centerContinuous"/>
    </xf>
    <xf numFmtId="167" fontId="182" fillId="0" borderId="5" xfId="0" applyFont="1" applyBorder="1"/>
    <xf numFmtId="167" fontId="183" fillId="0" borderId="0" xfId="0" applyFont="1" applyAlignment="1">
      <alignment horizontal="left"/>
    </xf>
    <xf numFmtId="3" fontId="187" fillId="0" borderId="0" xfId="0" applyNumberFormat="1" applyFont="1" applyAlignment="1">
      <alignment horizontal="left"/>
    </xf>
    <xf numFmtId="15" fontId="182" fillId="0" borderId="0" xfId="0" applyNumberFormat="1" applyFont="1" applyAlignment="1">
      <alignment horizontal="left"/>
    </xf>
    <xf numFmtId="3" fontId="188" fillId="0" borderId="0" xfId="0" applyNumberFormat="1" applyFont="1" applyAlignment="1">
      <alignment horizontal="left"/>
    </xf>
    <xf numFmtId="167" fontId="189" fillId="0" borderId="0" xfId="0" applyFont="1"/>
    <xf numFmtId="167" fontId="183" fillId="0" borderId="0" xfId="0" applyFont="1"/>
    <xf numFmtId="15" fontId="190" fillId="0" borderId="0" xfId="0" applyNumberFormat="1" applyFont="1" applyAlignment="1">
      <alignment horizontal="left"/>
    </xf>
    <xf numFmtId="167" fontId="190" fillId="0" borderId="0" xfId="0" applyFont="1"/>
    <xf numFmtId="3" fontId="182" fillId="0" borderId="0" xfId="0" applyNumberFormat="1" applyFont="1" applyAlignment="1">
      <alignment horizontal="left"/>
    </xf>
    <xf numFmtId="167" fontId="182" fillId="0" borderId="0" xfId="0" applyFont="1" applyAlignment="1">
      <alignment horizontal="right"/>
    </xf>
    <xf numFmtId="167" fontId="191" fillId="0" borderId="0" xfId="0" applyFont="1"/>
    <xf numFmtId="0" fontId="191" fillId="0" borderId="0" xfId="1" applyNumberFormat="1" applyFont="1" applyFill="1" applyAlignment="1">
      <alignment horizontal="center"/>
    </xf>
    <xf numFmtId="17" fontId="185" fillId="0" borderId="0" xfId="0" applyNumberFormat="1" applyFont="1"/>
    <xf numFmtId="167" fontId="192" fillId="0" borderId="0" xfId="0" applyFont="1"/>
    <xf numFmtId="3" fontId="191" fillId="0" borderId="0" xfId="0" applyNumberFormat="1" applyFont="1" applyAlignment="1">
      <alignment horizontal="center"/>
    </xf>
    <xf numFmtId="0" fontId="182" fillId="0" borderId="0" xfId="0" quotePrefix="1" applyNumberFormat="1" applyFont="1" applyAlignment="1">
      <alignment horizontal="center"/>
    </xf>
    <xf numFmtId="17" fontId="182" fillId="0" borderId="0" xfId="0" applyNumberFormat="1" applyFont="1"/>
    <xf numFmtId="167" fontId="188" fillId="0" borderId="5" xfId="0" applyFont="1" applyBorder="1"/>
    <xf numFmtId="3" fontId="188" fillId="0" borderId="5" xfId="0" applyNumberFormat="1" applyFont="1" applyBorder="1"/>
    <xf numFmtId="167" fontId="188" fillId="0" borderId="0" xfId="0" applyFont="1" applyAlignment="1">
      <alignment wrapText="1"/>
    </xf>
    <xf numFmtId="166" fontId="194" fillId="0" borderId="0" xfId="0" applyNumberFormat="1" applyFont="1" applyAlignment="1">
      <alignment horizontal="center"/>
    </xf>
    <xf numFmtId="167" fontId="194" fillId="0" borderId="0" xfId="0" applyFont="1" applyAlignment="1">
      <alignment horizontal="center"/>
    </xf>
    <xf numFmtId="167" fontId="194" fillId="0" borderId="0" xfId="0" applyFont="1"/>
    <xf numFmtId="167" fontId="188" fillId="0" borderId="0" xfId="0" applyFont="1"/>
    <xf numFmtId="167" fontId="183" fillId="0" borderId="4" xfId="0" applyFont="1" applyBorder="1" applyAlignment="1">
      <alignment horizontal="centerContinuous" vertical="center"/>
    </xf>
    <xf numFmtId="3" fontId="183" fillId="0" borderId="4" xfId="0" applyNumberFormat="1" applyFont="1" applyBorder="1" applyAlignment="1">
      <alignment horizontal="center" vertical="center" shrinkToFit="1"/>
    </xf>
    <xf numFmtId="167" fontId="183" fillId="0" borderId="9" xfId="0" applyFont="1" applyBorder="1" applyAlignment="1">
      <alignment horizontal="center" vertical="center" shrinkToFit="1"/>
    </xf>
    <xf numFmtId="167" fontId="183" fillId="0" borderId="6" xfId="0" applyFont="1" applyBorder="1"/>
    <xf numFmtId="167" fontId="183" fillId="0" borderId="2" xfId="0" applyFont="1" applyBorder="1" applyAlignment="1">
      <alignment horizontal="centerContinuous"/>
    </xf>
    <xf numFmtId="167" fontId="183" fillId="0" borderId="2" xfId="0" applyFont="1" applyBorder="1" applyAlignment="1">
      <alignment horizontal="center"/>
    </xf>
    <xf numFmtId="167" fontId="183" fillId="0" borderId="8" xfId="0" applyFont="1" applyBorder="1" applyAlignment="1">
      <alignment horizontal="center"/>
    </xf>
    <xf numFmtId="167" fontId="195" fillId="0" borderId="0" xfId="0" applyFont="1"/>
    <xf numFmtId="166" fontId="195" fillId="0" borderId="0" xfId="0" applyNumberFormat="1" applyFont="1" applyAlignment="1">
      <alignment horizontal="center"/>
    </xf>
    <xf numFmtId="167" fontId="195" fillId="0" borderId="0" xfId="0" applyFont="1" applyAlignment="1">
      <alignment horizontal="center"/>
    </xf>
    <xf numFmtId="2" fontId="182" fillId="0" borderId="1" xfId="0" applyNumberFormat="1" applyFont="1" applyBorder="1" applyAlignment="1">
      <alignment horizontal="left"/>
    </xf>
    <xf numFmtId="3" fontId="182" fillId="3" borderId="1" xfId="1" applyNumberFormat="1" applyFont="1" applyFill="1" applyBorder="1" applyAlignment="1">
      <alignment horizontal="right"/>
    </xf>
    <xf numFmtId="166" fontId="182" fillId="4" borderId="0" xfId="0" applyNumberFormat="1" applyFont="1" applyFill="1" applyAlignment="1">
      <alignment horizontal="right"/>
    </xf>
    <xf numFmtId="3" fontId="182" fillId="0" borderId="0" xfId="0" applyNumberFormat="1" applyFont="1"/>
    <xf numFmtId="3" fontId="183" fillId="0" borderId="0" xfId="0" applyNumberFormat="1" applyFont="1"/>
    <xf numFmtId="165" fontId="183" fillId="0" borderId="0" xfId="0" applyNumberFormat="1" applyFont="1"/>
    <xf numFmtId="1" fontId="183" fillId="0" borderId="0" xfId="0" applyNumberFormat="1" applyFont="1" applyAlignment="1">
      <alignment horizontal="center"/>
    </xf>
    <xf numFmtId="2" fontId="183" fillId="0" borderId="0" xfId="0" applyNumberFormat="1" applyFont="1" applyAlignment="1">
      <alignment horizontal="left"/>
    </xf>
    <xf numFmtId="3" fontId="183" fillId="0" borderId="0" xfId="1" applyNumberFormat="1" applyFont="1" applyFill="1" applyBorder="1" applyAlignment="1">
      <alignment horizontal="right"/>
    </xf>
    <xf numFmtId="3" fontId="183" fillId="0" borderId="0" xfId="0" applyNumberFormat="1" applyFont="1" applyAlignment="1">
      <alignment horizontal="center"/>
    </xf>
    <xf numFmtId="167" fontId="183" fillId="0" borderId="0" xfId="0" applyFont="1" applyAlignment="1">
      <alignment horizontal="center"/>
    </xf>
    <xf numFmtId="167" fontId="196" fillId="0" borderId="0" xfId="0" applyFont="1" applyAlignment="1">
      <alignment horizontal="left" vertical="center"/>
    </xf>
    <xf numFmtId="167" fontId="182" fillId="0" borderId="0" xfId="0" applyFont="1" applyAlignment="1">
      <alignment horizontal="left" vertical="center"/>
    </xf>
    <xf numFmtId="167" fontId="182" fillId="0" borderId="0" xfId="0" applyFont="1" applyAlignment="1">
      <alignment vertical="center"/>
    </xf>
    <xf numFmtId="3" fontId="182" fillId="0" borderId="0" xfId="0" applyNumberFormat="1" applyFont="1" applyAlignment="1">
      <alignment horizontal="center" vertical="center"/>
    </xf>
    <xf numFmtId="168" fontId="185" fillId="0" borderId="0" xfId="0" applyNumberFormat="1" applyFont="1" applyAlignment="1">
      <alignment horizontal="center"/>
    </xf>
    <xf numFmtId="164" fontId="185" fillId="0" borderId="0" xfId="1" applyFont="1" applyAlignment="1">
      <alignment horizontal="center"/>
    </xf>
    <xf numFmtId="4" fontId="182" fillId="0" borderId="0" xfId="0" applyNumberFormat="1" applyFont="1" applyAlignment="1">
      <alignment horizontal="center" vertical="center"/>
    </xf>
    <xf numFmtId="167" fontId="183" fillId="0" borderId="0" xfId="0" applyFont="1" applyAlignment="1">
      <alignment horizontal="centerContinuous" vertical="center"/>
    </xf>
    <xf numFmtId="167" fontId="192" fillId="0" borderId="0" xfId="0" applyFont="1" applyAlignment="1">
      <alignment vertical="center"/>
    </xf>
    <xf numFmtId="167" fontId="182" fillId="0" borderId="0" xfId="0" applyFont="1" applyAlignment="1">
      <alignment horizontal="centerContinuous" vertical="center"/>
    </xf>
    <xf numFmtId="164" fontId="174" fillId="0" borderId="0" xfId="3" applyFont="1"/>
    <xf numFmtId="164" fontId="174" fillId="0" borderId="0" xfId="0" applyNumberFormat="1" applyFont="1"/>
    <xf numFmtId="167" fontId="193" fillId="0" borderId="0" xfId="0" applyFont="1" applyAlignment="1">
      <alignment horizontal="left" vertical="center"/>
    </xf>
    <xf numFmtId="164" fontId="182" fillId="0" borderId="0" xfId="3" applyFont="1"/>
    <xf numFmtId="164" fontId="182" fillId="0" borderId="0" xfId="0" applyNumberFormat="1" applyFont="1"/>
    <xf numFmtId="3" fontId="182" fillId="0" borderId="0" xfId="0" applyNumberFormat="1" applyFont="1" applyAlignment="1">
      <alignment horizontal="centerContinuous"/>
    </xf>
    <xf numFmtId="3" fontId="182" fillId="0" borderId="5" xfId="0" applyNumberFormat="1" applyFont="1" applyBorder="1" applyAlignment="1">
      <alignment horizontal="centerContinuous"/>
    </xf>
    <xf numFmtId="0" fontId="182" fillId="0" borderId="0" xfId="0" applyNumberFormat="1" applyFont="1"/>
    <xf numFmtId="0" fontId="182" fillId="0" borderId="0" xfId="0" applyNumberFormat="1" applyFont="1" applyAlignment="1">
      <alignment horizontal="centerContinuous"/>
    </xf>
    <xf numFmtId="0" fontId="182" fillId="0" borderId="5" xfId="0" applyNumberFormat="1" applyFont="1" applyBorder="1"/>
    <xf numFmtId="0" fontId="182" fillId="0" borderId="5" xfId="0" applyNumberFormat="1" applyFont="1" applyBorder="1" applyAlignment="1">
      <alignment horizontal="centerContinuous"/>
    </xf>
    <xf numFmtId="0" fontId="182" fillId="0" borderId="0" xfId="0" applyNumberFormat="1" applyFont="1" applyAlignment="1">
      <alignment horizontal="left"/>
    </xf>
    <xf numFmtId="167" fontId="182" fillId="0" borderId="0" xfId="0" applyFont="1" applyAlignment="1">
      <alignment horizontal="left" indent="2"/>
    </xf>
    <xf numFmtId="167" fontId="182" fillId="0" borderId="0" xfId="0" applyFont="1" applyAlignment="1">
      <alignment horizontal="right" indent="3"/>
    </xf>
    <xf numFmtId="167" fontId="183" fillId="0" borderId="4" xfId="0" applyFont="1" applyBorder="1" applyAlignment="1">
      <alignment vertical="center"/>
    </xf>
    <xf numFmtId="167" fontId="183" fillId="0" borderId="4" xfId="0" applyFont="1" applyBorder="1" applyAlignment="1">
      <alignment horizontal="left" vertical="center"/>
    </xf>
    <xf numFmtId="3" fontId="183" fillId="0" borderId="4" xfId="0" applyNumberFormat="1" applyFont="1" applyBorder="1" applyAlignment="1">
      <alignment horizontal="center" vertical="center"/>
    </xf>
    <xf numFmtId="167" fontId="193" fillId="0" borderId="2" xfId="0" applyFont="1" applyBorder="1" applyAlignment="1">
      <alignment vertical="center"/>
    </xf>
    <xf numFmtId="167" fontId="192" fillId="0" borderId="2" xfId="0" applyFont="1" applyBorder="1" applyAlignment="1">
      <alignment horizontal="center" vertical="center"/>
    </xf>
    <xf numFmtId="167" fontId="183" fillId="0" borderId="2" xfId="0" applyFont="1" applyBorder="1" applyAlignment="1">
      <alignment horizontal="center" vertical="center"/>
    </xf>
    <xf numFmtId="3" fontId="192" fillId="0" borderId="2" xfId="0" applyNumberFormat="1" applyFont="1" applyBorder="1" applyAlignment="1">
      <alignment horizontal="center" vertical="center"/>
    </xf>
    <xf numFmtId="4" fontId="188" fillId="0" borderId="0" xfId="0" applyNumberFormat="1" applyFont="1"/>
    <xf numFmtId="167" fontId="188" fillId="0" borderId="0" xfId="0" applyFont="1" applyAlignment="1">
      <alignment horizontal="center"/>
    </xf>
    <xf numFmtId="0" fontId="182" fillId="3" borderId="1" xfId="0" applyNumberFormat="1" applyFont="1" applyFill="1" applyBorder="1" applyAlignment="1">
      <alignment horizontal="left"/>
    </xf>
    <xf numFmtId="0" fontId="182" fillId="0" borderId="6" xfId="0" applyNumberFormat="1" applyFont="1" applyBorder="1" applyAlignment="1">
      <alignment horizontal="left"/>
    </xf>
    <xf numFmtId="165" fontId="182" fillId="0" borderId="1" xfId="1" applyNumberFormat="1" applyFont="1" applyFill="1" applyBorder="1" applyAlignment="1">
      <alignment horizontal="left"/>
    </xf>
    <xf numFmtId="4" fontId="183" fillId="0" borderId="0" xfId="0" applyNumberFormat="1" applyFont="1"/>
    <xf numFmtId="165" fontId="183" fillId="0" borderId="0" xfId="1" applyNumberFormat="1" applyFont="1" applyBorder="1" applyAlignment="1">
      <alignment horizontal="right"/>
    </xf>
    <xf numFmtId="164" fontId="188" fillId="0" borderId="0" xfId="1" applyFont="1" applyBorder="1" applyAlignment="1">
      <alignment horizontal="right"/>
    </xf>
    <xf numFmtId="164" fontId="183" fillId="0" borderId="0" xfId="1" applyFont="1" applyAlignment="1">
      <alignment horizontal="right"/>
    </xf>
    <xf numFmtId="167" fontId="182" fillId="3" borderId="0" xfId="0" applyFont="1" applyFill="1"/>
    <xf numFmtId="167" fontId="188" fillId="0" borderId="0" xfId="0" applyFont="1" applyAlignment="1">
      <alignment horizontal="left"/>
    </xf>
    <xf numFmtId="167" fontId="183" fillId="0" borderId="0" xfId="0" applyFont="1" applyAlignment="1">
      <alignment horizontal="right"/>
    </xf>
    <xf numFmtId="167" fontId="183" fillId="0" borderId="0" xfId="0" applyFont="1" applyAlignment="1">
      <alignment horizontal="centerContinuous"/>
    </xf>
    <xf numFmtId="4" fontId="182" fillId="0" borderId="0" xfId="0" applyNumberFormat="1" applyFont="1" applyAlignment="1">
      <alignment horizontal="right"/>
    </xf>
    <xf numFmtId="167" fontId="182" fillId="0" borderId="1" xfId="0" applyFont="1" applyBorder="1"/>
    <xf numFmtId="167" fontId="182" fillId="0" borderId="12" xfId="0" applyFont="1" applyBorder="1"/>
    <xf numFmtId="167" fontId="182" fillId="0" borderId="8" xfId="0" applyFont="1" applyBorder="1"/>
    <xf numFmtId="4" fontId="182" fillId="0" borderId="8" xfId="0" applyNumberFormat="1" applyFont="1" applyBorder="1"/>
    <xf numFmtId="4" fontId="182" fillId="0" borderId="12" xfId="0" applyNumberFormat="1" applyFont="1" applyBorder="1"/>
    <xf numFmtId="167" fontId="182" fillId="0" borderId="5" xfId="0" applyFont="1" applyBorder="1" applyAlignment="1">
      <alignment horizontal="center"/>
    </xf>
    <xf numFmtId="167" fontId="188" fillId="0" borderId="5" xfId="0" applyFont="1" applyBorder="1" applyAlignment="1">
      <alignment horizontal="left"/>
    </xf>
    <xf numFmtId="2" fontId="182" fillId="0" borderId="1" xfId="0" applyNumberFormat="1" applyFont="1" applyBorder="1"/>
    <xf numFmtId="2" fontId="182" fillId="0" borderId="12" xfId="0" applyNumberFormat="1" applyFont="1" applyBorder="1"/>
    <xf numFmtId="2" fontId="182" fillId="0" borderId="8" xfId="0" applyNumberFormat="1" applyFont="1" applyBorder="1"/>
    <xf numFmtId="4" fontId="182" fillId="0" borderId="1" xfId="0" applyNumberFormat="1" applyFont="1" applyBorder="1"/>
    <xf numFmtId="3" fontId="182" fillId="0" borderId="8" xfId="0" applyNumberFormat="1" applyFont="1" applyBorder="1"/>
    <xf numFmtId="15" fontId="182" fillId="0" borderId="0" xfId="0" applyNumberFormat="1" applyFont="1" applyAlignment="1">
      <alignment horizontal="center"/>
    </xf>
    <xf numFmtId="164" fontId="182" fillId="0" borderId="0" xfId="1" applyFont="1" applyFill="1"/>
    <xf numFmtId="14" fontId="182" fillId="0" borderId="0" xfId="0" applyNumberFormat="1" applyFont="1" applyAlignment="1">
      <alignment horizontal="left"/>
    </xf>
    <xf numFmtId="2" fontId="182" fillId="0" borderId="0" xfId="0" applyNumberFormat="1" applyFont="1"/>
    <xf numFmtId="167" fontId="183" fillId="3" borderId="4" xfId="0" applyFont="1" applyFill="1" applyBorder="1" applyAlignment="1">
      <alignment horizontal="left" vertical="center"/>
    </xf>
    <xf numFmtId="167" fontId="183" fillId="0" borderId="0" xfId="0" applyFont="1" applyAlignment="1">
      <alignment horizontal="center" vertical="center" wrapText="1"/>
    </xf>
    <xf numFmtId="4" fontId="188" fillId="0" borderId="0" xfId="0" applyNumberFormat="1" applyFont="1" applyAlignment="1">
      <alignment horizontal="right"/>
    </xf>
    <xf numFmtId="3" fontId="182" fillId="0" borderId="13" xfId="0" applyNumberFormat="1" applyFont="1" applyBorder="1" applyAlignment="1">
      <alignment horizontal="right"/>
    </xf>
    <xf numFmtId="4" fontId="188" fillId="0" borderId="0" xfId="0" applyNumberFormat="1" applyFont="1" applyAlignment="1">
      <alignment horizontal="right" wrapText="1"/>
    </xf>
    <xf numFmtId="167" fontId="188" fillId="0" borderId="11" xfId="0" applyFont="1" applyBorder="1" applyAlignment="1">
      <alignment horizontal="left"/>
    </xf>
    <xf numFmtId="167" fontId="188" fillId="0" borderId="11" xfId="0" applyFont="1" applyBorder="1"/>
    <xf numFmtId="0" fontId="182" fillId="0" borderId="13" xfId="16" applyFont="1" applyBorder="1" applyAlignment="1">
      <alignment vertical="center"/>
    </xf>
    <xf numFmtId="0" fontId="182" fillId="0" borderId="13" xfId="16" applyFont="1" applyBorder="1"/>
    <xf numFmtId="3" fontId="183" fillId="0" borderId="0" xfId="0" applyNumberFormat="1" applyFont="1" applyAlignment="1">
      <alignment horizontal="right"/>
    </xf>
    <xf numFmtId="4" fontId="183" fillId="0" borderId="0" xfId="0" applyNumberFormat="1" applyFont="1" applyAlignment="1">
      <alignment horizontal="right"/>
    </xf>
    <xf numFmtId="4" fontId="182" fillId="0" borderId="0" xfId="0" applyNumberFormat="1" applyFont="1" applyAlignment="1">
      <alignment wrapText="1"/>
    </xf>
    <xf numFmtId="0" fontId="182" fillId="0" borderId="0" xfId="16" applyFont="1" applyAlignment="1">
      <alignment vertical="center"/>
    </xf>
    <xf numFmtId="0" fontId="183" fillId="0" borderId="0" xfId="16" applyFont="1" applyAlignment="1">
      <alignment horizontal="right"/>
    </xf>
    <xf numFmtId="2" fontId="183" fillId="0" borderId="0" xfId="0" applyNumberFormat="1" applyFont="1"/>
    <xf numFmtId="167" fontId="183" fillId="0" borderId="0" xfId="0" applyFont="1" applyAlignment="1">
      <alignment horizontal="left" vertical="center"/>
    </xf>
    <xf numFmtId="4" fontId="182" fillId="3" borderId="1" xfId="10" applyNumberFormat="1" applyFont="1" applyFill="1" applyBorder="1" applyAlignment="1"/>
    <xf numFmtId="4" fontId="182" fillId="0" borderId="14" xfId="0" applyNumberFormat="1" applyFont="1" applyBorder="1"/>
    <xf numFmtId="167" fontId="182" fillId="0" borderId="0" xfId="0" quotePrefix="1" applyFont="1" applyAlignment="1">
      <alignment horizontal="left"/>
    </xf>
    <xf numFmtId="0" fontId="182" fillId="0" borderId="0" xfId="16" applyFont="1" applyAlignment="1">
      <alignment horizontal="right"/>
    </xf>
    <xf numFmtId="2" fontId="182" fillId="0" borderId="15" xfId="0" applyNumberFormat="1" applyFont="1" applyBorder="1"/>
    <xf numFmtId="2" fontId="182" fillId="0" borderId="14" xfId="0" applyNumberFormat="1" applyFont="1" applyBorder="1"/>
    <xf numFmtId="3" fontId="183" fillId="3" borderId="7" xfId="0" applyNumberFormat="1" applyFont="1" applyFill="1" applyBorder="1" applyAlignment="1">
      <alignment horizontal="right"/>
    </xf>
    <xf numFmtId="4" fontId="183" fillId="3" borderId="7" xfId="0" applyNumberFormat="1" applyFont="1" applyFill="1" applyBorder="1" applyAlignment="1">
      <alignment horizontal="right"/>
    </xf>
    <xf numFmtId="4" fontId="182" fillId="0" borderId="20" xfId="0" applyNumberFormat="1" applyFont="1" applyBorder="1" applyAlignment="1">
      <alignment wrapText="1"/>
    </xf>
    <xf numFmtId="4" fontId="182" fillId="0" borderId="19" xfId="0" applyNumberFormat="1" applyFont="1" applyBorder="1" applyAlignment="1">
      <alignment wrapText="1"/>
    </xf>
    <xf numFmtId="2" fontId="183" fillId="0" borderId="7" xfId="0" applyNumberFormat="1" applyFont="1" applyBorder="1" applyAlignment="1">
      <alignment horizontal="left"/>
    </xf>
    <xf numFmtId="165" fontId="183" fillId="0" borderId="7" xfId="1" applyNumberFormat="1" applyFont="1" applyBorder="1" applyAlignment="1">
      <alignment horizontal="right"/>
    </xf>
    <xf numFmtId="165" fontId="183" fillId="0" borderId="7" xfId="1" applyNumberFormat="1" applyFont="1" applyFill="1" applyBorder="1" applyAlignment="1">
      <alignment horizontal="left"/>
    </xf>
    <xf numFmtId="164" fontId="183" fillId="0" borderId="7" xfId="1" applyFont="1" applyBorder="1" applyAlignment="1"/>
    <xf numFmtId="3" fontId="183" fillId="0" borderId="7" xfId="1" applyNumberFormat="1" applyFont="1" applyFill="1" applyBorder="1" applyAlignment="1">
      <alignment horizontal="right"/>
    </xf>
    <xf numFmtId="0" fontId="182" fillId="0" borderId="0" xfId="0" quotePrefix="1" applyNumberFormat="1" applyFont="1"/>
    <xf numFmtId="0" fontId="182" fillId="0" borderId="16" xfId="0" applyNumberFormat="1" applyFont="1" applyBorder="1"/>
    <xf numFmtId="167" fontId="197" fillId="0" borderId="0" xfId="0" applyFont="1" applyAlignment="1">
      <alignment horizontal="left"/>
    </xf>
    <xf numFmtId="4" fontId="192" fillId="0" borderId="5" xfId="0" applyNumberFormat="1" applyFont="1" applyBorder="1" applyAlignment="1">
      <alignment horizontal="right" wrapText="1"/>
    </xf>
    <xf numFmtId="167" fontId="192" fillId="0" borderId="19" xfId="0" applyFont="1" applyBorder="1" applyAlignment="1">
      <alignment horizontal="left"/>
    </xf>
    <xf numFmtId="167" fontId="188" fillId="0" borderId="19" xfId="0" applyFont="1" applyBorder="1" applyAlignment="1">
      <alignment horizontal="left"/>
    </xf>
    <xf numFmtId="3" fontId="183" fillId="0" borderId="21" xfId="0" applyNumberFormat="1" applyFont="1" applyBorder="1" applyAlignment="1">
      <alignment horizontal="right"/>
    </xf>
    <xf numFmtId="2" fontId="183" fillId="0" borderId="7" xfId="0" applyNumberFormat="1" applyFont="1" applyBorder="1"/>
    <xf numFmtId="167" fontId="192" fillId="0" borderId="11" xfId="0" applyFont="1" applyBorder="1"/>
    <xf numFmtId="0" fontId="199" fillId="3" borderId="17" xfId="0" applyNumberFormat="1" applyFont="1" applyFill="1" applyBorder="1" applyAlignment="1">
      <alignment horizontal="left"/>
    </xf>
    <xf numFmtId="165" fontId="182" fillId="0" borderId="0" xfId="0" applyNumberFormat="1" applyFont="1"/>
    <xf numFmtId="167" fontId="182" fillId="4" borderId="0" xfId="0" applyFont="1" applyFill="1"/>
    <xf numFmtId="4" fontId="183" fillId="0" borderId="7" xfId="10" applyNumberFormat="1" applyFont="1" applyFill="1" applyBorder="1" applyAlignment="1"/>
    <xf numFmtId="4" fontId="183" fillId="0" borderId="0" xfId="10" applyNumberFormat="1" applyFont="1" applyFill="1" applyBorder="1" applyAlignment="1"/>
    <xf numFmtId="0" fontId="192" fillId="0" borderId="2" xfId="0" applyNumberFormat="1" applyFont="1" applyBorder="1" applyAlignment="1">
      <alignment horizontal="center"/>
    </xf>
    <xf numFmtId="164" fontId="182" fillId="0" borderId="1" xfId="1" applyFont="1" applyBorder="1" applyAlignment="1"/>
    <xf numFmtId="4" fontId="188" fillId="0" borderId="20" xfId="0" applyNumberFormat="1" applyFont="1" applyBorder="1" applyAlignment="1">
      <alignment horizontal="right" wrapText="1"/>
    </xf>
    <xf numFmtId="167" fontId="200" fillId="0" borderId="0" xfId="0" applyFont="1"/>
    <xf numFmtId="167" fontId="202" fillId="0" borderId="0" xfId="0" applyFont="1"/>
    <xf numFmtId="167" fontId="203" fillId="0" borderId="0" xfId="0" applyFont="1" applyAlignment="1">
      <alignment horizontal="center"/>
    </xf>
    <xf numFmtId="167" fontId="200" fillId="0" borderId="0" xfId="0" applyFont="1" applyAlignment="1">
      <alignment horizontal="left" vertical="top"/>
    </xf>
    <xf numFmtId="167" fontId="200" fillId="0" borderId="0" xfId="0" applyFont="1" applyAlignment="1">
      <alignment horizontal="center"/>
    </xf>
    <xf numFmtId="167" fontId="203" fillId="0" borderId="13" xfId="0" applyFont="1" applyBorder="1" applyAlignment="1">
      <alignment horizontal="center" vertical="center" wrapText="1"/>
    </xf>
    <xf numFmtId="167" fontId="203" fillId="0" borderId="1" xfId="0" applyFont="1" applyBorder="1" applyAlignment="1">
      <alignment horizontal="center" vertical="center" wrapText="1"/>
    </xf>
    <xf numFmtId="1" fontId="200" fillId="0" borderId="1" xfId="0" applyNumberFormat="1" applyFont="1" applyBorder="1" applyAlignment="1">
      <alignment horizontal="center"/>
    </xf>
    <xf numFmtId="170" fontId="200" fillId="0" borderId="1" xfId="0" quotePrefix="1" applyNumberFormat="1" applyFont="1" applyBorder="1" applyAlignment="1">
      <alignment horizontal="left" shrinkToFit="1"/>
    </xf>
    <xf numFmtId="170" fontId="200" fillId="0" borderId="1" xfId="0" applyNumberFormat="1" applyFont="1" applyBorder="1" applyAlignment="1">
      <alignment horizontal="right"/>
    </xf>
    <xf numFmtId="167" fontId="200" fillId="0" borderId="1" xfId="0" quotePrefix="1" applyFont="1" applyBorder="1" applyAlignment="1">
      <alignment horizontal="center"/>
    </xf>
    <xf numFmtId="4" fontId="200" fillId="0" borderId="1" xfId="0" applyNumberFormat="1" applyFont="1" applyBorder="1" applyAlignment="1">
      <alignment vertical="center"/>
    </xf>
    <xf numFmtId="15" fontId="200" fillId="0" borderId="1" xfId="0" quotePrefix="1" applyNumberFormat="1" applyFont="1" applyBorder="1" applyAlignment="1">
      <alignment horizontal="center"/>
    </xf>
    <xf numFmtId="167" fontId="200" fillId="0" borderId="8" xfId="0" applyFont="1" applyBorder="1" applyAlignment="1">
      <alignment horizontal="center"/>
    </xf>
    <xf numFmtId="3" fontId="200" fillId="0" borderId="0" xfId="0" applyNumberFormat="1" applyFont="1"/>
    <xf numFmtId="167" fontId="200" fillId="0" borderId="8" xfId="0" applyFont="1" applyBorder="1"/>
    <xf numFmtId="167" fontId="204" fillId="0" borderId="0" xfId="0" applyFont="1" applyAlignment="1">
      <alignment horizontal="left" vertical="top"/>
    </xf>
    <xf numFmtId="167" fontId="204" fillId="0" borderId="0" xfId="0" applyFont="1" applyAlignment="1">
      <alignment horizontal="center"/>
    </xf>
    <xf numFmtId="167" fontId="204" fillId="0" borderId="0" xfId="0" applyFont="1"/>
    <xf numFmtId="0" fontId="204" fillId="0" borderId="0" xfId="0" applyNumberFormat="1" applyFont="1"/>
    <xf numFmtId="0" fontId="182" fillId="0" borderId="13" xfId="0" applyNumberFormat="1" applyFont="1" applyBorder="1" applyAlignment="1">
      <alignment horizontal="center"/>
    </xf>
    <xf numFmtId="167" fontId="205" fillId="0" borderId="13" xfId="0" applyFont="1" applyBorder="1"/>
    <xf numFmtId="167" fontId="205" fillId="4" borderId="13" xfId="0" applyFont="1" applyFill="1" applyBorder="1" applyAlignment="1">
      <alignment horizontal="center"/>
    </xf>
    <xf numFmtId="167" fontId="182" fillId="0" borderId="0" xfId="0" applyFont="1" applyAlignment="1">
      <alignment shrinkToFit="1"/>
    </xf>
    <xf numFmtId="164" fontId="183" fillId="0" borderId="0" xfId="0" applyNumberFormat="1" applyFont="1"/>
    <xf numFmtId="0" fontId="182" fillId="0" borderId="1" xfId="0" applyNumberFormat="1" applyFont="1" applyBorder="1" applyAlignment="1">
      <alignment horizontal="center"/>
    </xf>
    <xf numFmtId="0" fontId="0" fillId="0" borderId="1" xfId="0" applyNumberFormat="1" applyBorder="1"/>
    <xf numFmtId="3" fontId="182" fillId="0" borderId="1" xfId="0" applyNumberFormat="1" applyFont="1" applyBorder="1" applyAlignment="1">
      <alignment horizontal="right" vertical="center"/>
    </xf>
    <xf numFmtId="3" fontId="183" fillId="0" borderId="7" xfId="0" applyNumberFormat="1" applyFont="1" applyBorder="1" applyAlignment="1">
      <alignment horizontal="right"/>
    </xf>
    <xf numFmtId="3" fontId="182" fillId="0" borderId="1" xfId="0" applyNumberFormat="1" applyFont="1" applyBorder="1" applyAlignment="1">
      <alignment horizontal="right"/>
    </xf>
    <xf numFmtId="0" fontId="182" fillId="0" borderId="3" xfId="0" applyNumberFormat="1" applyFont="1" applyBorder="1"/>
    <xf numFmtId="4" fontId="192" fillId="0" borderId="0" xfId="0" applyNumberFormat="1" applyFont="1" applyAlignment="1">
      <alignment horizontal="right" wrapText="1"/>
    </xf>
    <xf numFmtId="167" fontId="192" fillId="0" borderId="11" xfId="0" applyFont="1" applyBorder="1" applyAlignment="1">
      <alignment horizontal="left"/>
    </xf>
    <xf numFmtId="2" fontId="183" fillId="0" borderId="21" xfId="0" applyNumberFormat="1" applyFont="1" applyBorder="1"/>
    <xf numFmtId="4" fontId="192" fillId="0" borderId="23" xfId="0" applyNumberFormat="1" applyFont="1" applyBorder="1" applyAlignment="1">
      <alignment horizontal="right" wrapText="1"/>
    </xf>
    <xf numFmtId="167" fontId="192" fillId="0" borderId="24" xfId="0" applyFont="1" applyBorder="1" applyAlignment="1">
      <alignment horizontal="left"/>
    </xf>
    <xf numFmtId="0" fontId="183" fillId="0" borderId="13" xfId="16" applyFont="1" applyBorder="1"/>
    <xf numFmtId="0" fontId="182" fillId="0" borderId="0" xfId="16" applyFont="1"/>
    <xf numFmtId="0" fontId="173" fillId="0" borderId="0" xfId="0" applyNumberFormat="1" applyFont="1"/>
    <xf numFmtId="0" fontId="182" fillId="0" borderId="0" xfId="0" applyNumberFormat="1" applyFont="1" applyAlignment="1">
      <alignment horizontal="center"/>
    </xf>
    <xf numFmtId="0" fontId="173" fillId="0" borderId="0" xfId="0" applyNumberFormat="1" applyFont="1" applyAlignment="1">
      <alignment horizontal="centerContinuous" vertical="center"/>
    </xf>
    <xf numFmtId="0" fontId="176" fillId="0" borderId="0" xfId="0" applyNumberFormat="1" applyFont="1"/>
    <xf numFmtId="0" fontId="188" fillId="0" borderId="0" xfId="0" applyNumberFormat="1" applyFont="1" applyAlignment="1">
      <alignment horizontal="right" indent="1"/>
    </xf>
    <xf numFmtId="0" fontId="188" fillId="0" borderId="5" xfId="0" applyNumberFormat="1" applyFont="1" applyBorder="1"/>
    <xf numFmtId="0" fontId="183" fillId="0" borderId="2" xfId="0" applyNumberFormat="1" applyFont="1" applyBorder="1" applyAlignment="1">
      <alignment horizontal="centerContinuous"/>
    </xf>
    <xf numFmtId="0" fontId="183" fillId="0" borderId="0" xfId="0" applyNumberFormat="1" applyFont="1" applyAlignment="1">
      <alignment horizontal="left"/>
    </xf>
    <xf numFmtId="0" fontId="182" fillId="0" borderId="0" xfId="0" applyNumberFormat="1" applyFont="1" applyAlignment="1">
      <alignment horizontal="center" vertical="center"/>
    </xf>
    <xf numFmtId="0" fontId="192" fillId="0" borderId="0" xfId="0" applyNumberFormat="1" applyFont="1" applyAlignment="1">
      <alignment vertical="center"/>
    </xf>
    <xf numFmtId="0" fontId="182" fillId="0" borderId="0" xfId="0" applyNumberFormat="1" applyFont="1" applyAlignment="1">
      <alignment horizontal="centerContinuous" vertical="center"/>
    </xf>
    <xf numFmtId="0" fontId="174" fillId="0" borderId="0" xfId="0" applyNumberFormat="1" applyFont="1" applyAlignment="1">
      <alignment horizontal="left" vertical="center"/>
    </xf>
    <xf numFmtId="0" fontId="174" fillId="0" borderId="0" xfId="0" applyNumberFormat="1" applyFont="1" applyAlignment="1">
      <alignment horizontal="center" vertical="center"/>
    </xf>
    <xf numFmtId="0" fontId="174" fillId="0" borderId="0" xfId="0" applyNumberFormat="1" applyFont="1" applyAlignment="1">
      <alignment horizontal="centerContinuous"/>
    </xf>
    <xf numFmtId="0" fontId="180" fillId="0" borderId="0" xfId="0" applyNumberFormat="1" applyFont="1" applyAlignment="1">
      <alignment horizontal="centerContinuous"/>
    </xf>
    <xf numFmtId="0" fontId="174" fillId="0" borderId="0" xfId="0" applyNumberFormat="1" applyFont="1"/>
    <xf numFmtId="0" fontId="176" fillId="0" borderId="0" xfId="0" applyNumberFormat="1" applyFont="1" applyAlignment="1">
      <alignment horizontal="right" indent="1"/>
    </xf>
    <xf numFmtId="0" fontId="174" fillId="0" borderId="0" xfId="0" applyNumberFormat="1" applyFont="1" applyAlignment="1">
      <alignment horizontal="left" indent="1"/>
    </xf>
    <xf numFmtId="0" fontId="173" fillId="0" borderId="0" xfId="0" applyNumberFormat="1" applyFont="1" applyAlignment="1">
      <alignment horizontal="center" vertical="center"/>
    </xf>
    <xf numFmtId="0" fontId="174" fillId="2" borderId="0" xfId="0" applyNumberFormat="1" applyFont="1" applyFill="1" applyAlignment="1">
      <alignment vertical="center"/>
    </xf>
    <xf numFmtId="167" fontId="192" fillId="0" borderId="2" xfId="0" applyFont="1" applyBorder="1" applyAlignment="1">
      <alignment horizontal="center"/>
    </xf>
    <xf numFmtId="3" fontId="192" fillId="0" borderId="2" xfId="0" applyNumberFormat="1" applyFont="1" applyBorder="1" applyAlignment="1">
      <alignment horizontal="center"/>
    </xf>
    <xf numFmtId="3" fontId="192" fillId="0" borderId="8" xfId="0" applyNumberFormat="1" applyFont="1" applyBorder="1" applyAlignment="1">
      <alignment horizontal="left"/>
    </xf>
    <xf numFmtId="3" fontId="192" fillId="0" borderId="0" xfId="0" applyNumberFormat="1" applyFont="1" applyAlignment="1">
      <alignment horizontal="center"/>
    </xf>
    <xf numFmtId="165" fontId="198" fillId="0" borderId="0" xfId="0" applyNumberFormat="1" applyFont="1"/>
    <xf numFmtId="4" fontId="188" fillId="0" borderId="26" xfId="0" applyNumberFormat="1" applyFont="1" applyBorder="1" applyAlignment="1">
      <alignment horizontal="right" wrapText="1"/>
    </xf>
    <xf numFmtId="0" fontId="182" fillId="0" borderId="0" xfId="0" applyNumberFormat="1" applyFont="1" applyAlignment="1">
      <alignment horizontal="right"/>
    </xf>
    <xf numFmtId="3" fontId="198" fillId="0" borderId="7" xfId="0" applyNumberFormat="1" applyFont="1" applyBorder="1" applyAlignment="1">
      <alignment horizontal="right"/>
    </xf>
    <xf numFmtId="0" fontId="199" fillId="3" borderId="1" xfId="0" applyNumberFormat="1" applyFont="1" applyFill="1" applyBorder="1" applyAlignment="1">
      <alignment horizontal="left"/>
    </xf>
    <xf numFmtId="167" fontId="197" fillId="0" borderId="17" xfId="0" applyFont="1" applyBorder="1" applyAlignment="1">
      <alignment horizontal="left" vertical="center"/>
    </xf>
    <xf numFmtId="167" fontId="197" fillId="0" borderId="8" xfId="0" applyFont="1" applyBorder="1" applyAlignment="1">
      <alignment horizontal="left" vertical="center"/>
    </xf>
    <xf numFmtId="3" fontId="198" fillId="0" borderId="0" xfId="0" applyNumberFormat="1" applyFont="1" applyAlignment="1">
      <alignment horizontal="right"/>
    </xf>
    <xf numFmtId="164" fontId="188" fillId="0" borderId="0" xfId="1" applyFont="1" applyFill="1" applyBorder="1" applyAlignment="1">
      <alignment horizontal="right"/>
    </xf>
    <xf numFmtId="164" fontId="183" fillId="0" borderId="0" xfId="1" applyFont="1" applyBorder="1" applyAlignment="1">
      <alignment horizontal="right"/>
    </xf>
    <xf numFmtId="0" fontId="199" fillId="3" borderId="1" xfId="0" applyNumberFormat="1" applyFont="1" applyFill="1" applyBorder="1" applyAlignment="1">
      <alignment horizontal="left" vertical="center"/>
    </xf>
    <xf numFmtId="167" fontId="206" fillId="0" borderId="0" xfId="0" applyFont="1" applyAlignment="1">
      <alignment horizontal="right"/>
    </xf>
    <xf numFmtId="167" fontId="206" fillId="0" borderId="0" xfId="0" applyFont="1"/>
    <xf numFmtId="167" fontId="183" fillId="0" borderId="4" xfId="0" applyFont="1" applyBorder="1" applyAlignment="1">
      <alignment horizontal="center" vertical="center"/>
    </xf>
    <xf numFmtId="167" fontId="183" fillId="0" borderId="0" xfId="0" applyFont="1" applyAlignment="1">
      <alignment horizontal="center" vertical="center"/>
    </xf>
    <xf numFmtId="167" fontId="183" fillId="0" borderId="0" xfId="0" applyFont="1" applyAlignment="1">
      <alignment horizontal="left"/>
    </xf>
    <xf numFmtId="167" fontId="174" fillId="0" borderId="0" xfId="0" applyFont="1" applyAlignment="1">
      <alignment horizontal="center" vertical="center"/>
    </xf>
    <xf numFmtId="3" fontId="183" fillId="0" borderId="0" xfId="0" applyNumberFormat="1" applyFont="1" applyAlignment="1">
      <alignment horizontal="center"/>
    </xf>
    <xf numFmtId="167" fontId="182" fillId="0" borderId="0" xfId="0" applyFont="1" applyAlignment="1">
      <alignment horizontal="center" vertical="center"/>
    </xf>
    <xf numFmtId="167" fontId="182" fillId="0" borderId="0" xfId="0" applyFont="1" applyAlignment="1">
      <alignment horizontal="center" shrinkToFit="1"/>
    </xf>
    <xf numFmtId="171" fontId="182" fillId="0" borderId="0" xfId="0" applyNumberFormat="1" applyFont="1" applyAlignment="1">
      <alignment horizontal="left"/>
    </xf>
    <xf numFmtId="167" fontId="183" fillId="5" borderId="1" xfId="0" applyFont="1" applyFill="1" applyBorder="1" applyAlignment="1">
      <alignment horizontal="center"/>
    </xf>
    <xf numFmtId="167" fontId="183" fillId="4" borderId="12" xfId="0" applyFont="1" applyFill="1" applyBorder="1" applyAlignment="1">
      <alignment horizontal="center"/>
    </xf>
    <xf numFmtId="167" fontId="183" fillId="4" borderId="8" xfId="0" applyFont="1" applyFill="1" applyBorder="1" applyAlignment="1">
      <alignment horizontal="center"/>
    </xf>
    <xf numFmtId="167" fontId="183" fillId="0" borderId="12" xfId="0" applyFont="1" applyBorder="1" applyAlignment="1">
      <alignment horizontal="center"/>
    </xf>
    <xf numFmtId="2" fontId="182" fillId="0" borderId="0" xfId="15" applyNumberFormat="1" applyFont="1"/>
    <xf numFmtId="2" fontId="183" fillId="0" borderId="1" xfId="0" applyNumberFormat="1" applyFont="1" applyBorder="1"/>
    <xf numFmtId="2" fontId="183" fillId="0" borderId="12" xfId="0" applyNumberFormat="1" applyFont="1" applyBorder="1"/>
    <xf numFmtId="1" fontId="183" fillId="0" borderId="0" xfId="0" applyNumberFormat="1" applyFont="1" applyAlignment="1">
      <alignment horizontal="right"/>
    </xf>
    <xf numFmtId="1" fontId="182" fillId="0" borderId="14" xfId="0" applyNumberFormat="1" applyFont="1" applyBorder="1" applyAlignment="1">
      <alignment horizontal="center"/>
    </xf>
    <xf numFmtId="2" fontId="192" fillId="0" borderId="0" xfId="0" applyNumberFormat="1" applyFont="1" applyAlignment="1">
      <alignment horizontal="left"/>
    </xf>
    <xf numFmtId="4" fontId="183" fillId="0" borderId="7" xfId="0" applyNumberFormat="1" applyFont="1" applyBorder="1"/>
    <xf numFmtId="4" fontId="183" fillId="0" borderId="21" xfId="0" applyNumberFormat="1" applyFont="1" applyBorder="1"/>
    <xf numFmtId="167" fontId="183" fillId="3" borderId="7" xfId="0" applyFont="1" applyFill="1" applyBorder="1" applyAlignment="1">
      <alignment horizontal="left"/>
    </xf>
    <xf numFmtId="3" fontId="182" fillId="0" borderId="0" xfId="1" applyNumberFormat="1" applyFont="1" applyFill="1" applyAlignment="1">
      <alignment horizontal="right"/>
    </xf>
    <xf numFmtId="164" fontId="182" fillId="0" borderId="0" xfId="1" applyFont="1" applyAlignment="1">
      <alignment horizontal="right"/>
    </xf>
    <xf numFmtId="167" fontId="207" fillId="0" borderId="0" xfId="0" applyFont="1"/>
    <xf numFmtId="167" fontId="208" fillId="0" borderId="0" xfId="0" applyFont="1" applyAlignment="1">
      <alignment horizontal="right"/>
    </xf>
    <xf numFmtId="167" fontId="208" fillId="0" borderId="0" xfId="0" applyFont="1"/>
    <xf numFmtId="167" fontId="209" fillId="0" borderId="0" xfId="0" applyFont="1" applyAlignment="1">
      <alignment horizontal="right"/>
    </xf>
    <xf numFmtId="167" fontId="209" fillId="0" borderId="0" xfId="0" applyFont="1"/>
    <xf numFmtId="167" fontId="183" fillId="0" borderId="0" xfId="0" applyFont="1" applyAlignment="1">
      <alignment horizontal="right" wrapText="1"/>
    </xf>
    <xf numFmtId="0" fontId="183" fillId="0" borderId="0" xfId="66" applyFont="1" applyAlignment="1">
      <alignment horizontal="left" vertical="center"/>
    </xf>
    <xf numFmtId="0" fontId="183" fillId="0" borderId="0" xfId="66" applyFont="1" applyAlignment="1">
      <alignment horizontal="right" vertical="center" wrapText="1"/>
    </xf>
    <xf numFmtId="167" fontId="183" fillId="0" borderId="0" xfId="0" applyFont="1" applyAlignment="1">
      <alignment horizontal="right" vertical="center"/>
    </xf>
    <xf numFmtId="167" fontId="192" fillId="0" borderId="0" xfId="0" applyFont="1" applyAlignment="1">
      <alignment horizontal="right"/>
    </xf>
    <xf numFmtId="1" fontId="182" fillId="3" borderId="1" xfId="0" applyNumberFormat="1" applyFont="1" applyFill="1" applyBorder="1" applyAlignment="1">
      <alignment horizontal="right" shrinkToFit="1"/>
    </xf>
    <xf numFmtId="165" fontId="182" fillId="3" borderId="1" xfId="0" applyNumberFormat="1" applyFont="1" applyFill="1" applyBorder="1" applyAlignment="1">
      <alignment horizontal="right" shrinkToFit="1"/>
    </xf>
    <xf numFmtId="0" fontId="183" fillId="0" borderId="0" xfId="0" applyNumberFormat="1" applyFont="1" applyAlignment="1">
      <alignment horizontal="center"/>
    </xf>
    <xf numFmtId="167" fontId="210" fillId="0" borderId="0" xfId="0" applyFont="1" applyAlignment="1">
      <alignment horizontal="left" vertical="center"/>
    </xf>
    <xf numFmtId="167" fontId="211" fillId="0" borderId="0" xfId="0" applyFont="1"/>
    <xf numFmtId="2" fontId="174" fillId="0" borderId="0" xfId="0" applyNumberFormat="1" applyFont="1"/>
    <xf numFmtId="167" fontId="174" fillId="0" borderId="0" xfId="0" applyFont="1" applyAlignment="1">
      <alignment horizontal="right" vertical="center"/>
    </xf>
    <xf numFmtId="0" fontId="212" fillId="0" borderId="0" xfId="192" applyFont="1" applyAlignment="1">
      <alignment horizontal="center" vertical="center"/>
    </xf>
    <xf numFmtId="0" fontId="212" fillId="0" borderId="0" xfId="192" applyFont="1" applyAlignment="1">
      <alignment vertical="center"/>
    </xf>
    <xf numFmtId="0" fontId="213" fillId="0" borderId="13" xfId="192" applyFont="1" applyBorder="1" applyAlignment="1">
      <alignment horizontal="center" vertical="center"/>
    </xf>
    <xf numFmtId="0" fontId="213" fillId="0" borderId="27" xfId="192" applyFont="1" applyBorder="1" applyAlignment="1">
      <alignment horizontal="center" vertical="center" wrapText="1"/>
    </xf>
    <xf numFmtId="0" fontId="213" fillId="0" borderId="13" xfId="192" applyFont="1" applyBorder="1" applyAlignment="1">
      <alignment horizontal="center" vertical="center" wrapText="1"/>
    </xf>
    <xf numFmtId="0" fontId="212" fillId="0" borderId="13" xfId="192" applyFont="1" applyBorder="1" applyAlignment="1">
      <alignment horizontal="center" vertical="center"/>
    </xf>
    <xf numFmtId="0" fontId="212" fillId="4" borderId="0" xfId="192" applyFont="1" applyFill="1" applyAlignment="1">
      <alignment horizontal="center" vertical="center"/>
    </xf>
    <xf numFmtId="0" fontId="212" fillId="0" borderId="1" xfId="192" applyFont="1" applyBorder="1" applyAlignment="1">
      <alignment vertical="center"/>
    </xf>
    <xf numFmtId="0" fontId="212" fillId="0" borderId="1" xfId="192" quotePrefix="1" applyFont="1" applyBorder="1" applyAlignment="1">
      <alignment vertical="center"/>
    </xf>
    <xf numFmtId="0" fontId="212" fillId="4" borderId="1" xfId="192" applyFont="1" applyFill="1" applyBorder="1" applyAlignment="1">
      <alignment vertical="center"/>
    </xf>
    <xf numFmtId="0" fontId="212" fillId="4" borderId="1" xfId="192" quotePrefix="1" applyFont="1" applyFill="1" applyBorder="1" applyAlignment="1">
      <alignment vertical="center"/>
    </xf>
    <xf numFmtId="0" fontId="212" fillId="0" borderId="1" xfId="192" applyFont="1" applyBorder="1" applyAlignment="1">
      <alignment horizontal="left" vertical="center"/>
    </xf>
    <xf numFmtId="0" fontId="212" fillId="0" borderId="0" xfId="193" applyFont="1" applyAlignment="1">
      <alignment vertical="center"/>
    </xf>
    <xf numFmtId="0" fontId="212" fillId="4" borderId="1" xfId="192" applyFont="1" applyFill="1" applyBorder="1" applyAlignment="1">
      <alignment horizontal="left" vertical="center"/>
    </xf>
    <xf numFmtId="0" fontId="212" fillId="0" borderId="1" xfId="194" applyFont="1" applyBorder="1" applyAlignment="1">
      <alignment horizontal="left" vertical="center"/>
    </xf>
    <xf numFmtId="0" fontId="212" fillId="0" borderId="1" xfId="194" applyFont="1" applyBorder="1" applyAlignment="1">
      <alignment vertical="center"/>
    </xf>
    <xf numFmtId="14" fontId="212" fillId="4" borderId="1" xfId="194" applyNumberFormat="1" applyFont="1" applyFill="1" applyBorder="1" applyAlignment="1">
      <alignment horizontal="center" vertical="center"/>
    </xf>
    <xf numFmtId="0" fontId="212" fillId="0" borderId="0" xfId="194" applyFont="1" applyAlignment="1">
      <alignment vertical="center"/>
    </xf>
    <xf numFmtId="0" fontId="213" fillId="0" borderId="0" xfId="192" applyFont="1" applyAlignment="1">
      <alignment vertical="center"/>
    </xf>
    <xf numFmtId="0" fontId="212" fillId="6" borderId="1" xfId="192" applyFont="1" applyFill="1" applyBorder="1" applyAlignment="1">
      <alignment vertical="center"/>
    </xf>
    <xf numFmtId="0" fontId="212" fillId="6" borderId="1" xfId="193" applyFont="1" applyFill="1" applyBorder="1" applyAlignment="1">
      <alignment vertical="center"/>
    </xf>
    <xf numFmtId="0" fontId="212" fillId="4" borderId="1" xfId="194" applyFont="1" applyFill="1" applyBorder="1" applyAlignment="1">
      <alignment vertical="center"/>
    </xf>
    <xf numFmtId="0" fontId="1" fillId="0" borderId="0" xfId="192"/>
    <xf numFmtId="0" fontId="212" fillId="0" borderId="0" xfId="192" applyFont="1" applyAlignment="1">
      <alignment horizontal="left" vertical="center"/>
    </xf>
    <xf numFmtId="0" fontId="212" fillId="0" borderId="0" xfId="192" applyNumberFormat="1" applyFont="1" applyAlignment="1">
      <alignment vertical="center"/>
    </xf>
    <xf numFmtId="0" fontId="212" fillId="4" borderId="0" xfId="192" applyFont="1" applyFill="1" applyAlignment="1">
      <alignment vertical="center"/>
    </xf>
    <xf numFmtId="0" fontId="212" fillId="6" borderId="0" xfId="192" applyFont="1" applyFill="1" applyAlignment="1">
      <alignment vertical="center"/>
    </xf>
    <xf numFmtId="0" fontId="212" fillId="0" borderId="0" xfId="194" applyNumberFormat="1" applyFont="1" applyAlignment="1">
      <alignment vertical="center"/>
    </xf>
    <xf numFmtId="0" fontId="212" fillId="7" borderId="0" xfId="192" applyFont="1" applyFill="1" applyAlignment="1">
      <alignment vertical="center"/>
    </xf>
    <xf numFmtId="0" fontId="212" fillId="7" borderId="0" xfId="194" applyFont="1" applyFill="1" applyAlignment="1">
      <alignment vertical="center"/>
    </xf>
    <xf numFmtId="167" fontId="186" fillId="0" borderId="18" xfId="0" applyFont="1" applyBorder="1" applyAlignment="1">
      <alignment horizontal="center"/>
    </xf>
    <xf numFmtId="167" fontId="193" fillId="0" borderId="5" xfId="0" applyFont="1" applyBorder="1" applyAlignment="1">
      <alignment horizontal="left" vertical="center"/>
    </xf>
    <xf numFmtId="167" fontId="174" fillId="0" borderId="0" xfId="0" applyFont="1" applyAlignment="1">
      <alignment horizontal="left"/>
    </xf>
    <xf numFmtId="167" fontId="183" fillId="0" borderId="4" xfId="0" applyFont="1" applyBorder="1" applyAlignment="1">
      <alignment horizontal="center" vertical="center"/>
    </xf>
    <xf numFmtId="167" fontId="183" fillId="0" borderId="0" xfId="0" applyFont="1" applyAlignment="1">
      <alignment horizontal="center" vertical="center"/>
    </xf>
    <xf numFmtId="167" fontId="173" fillId="0" borderId="0" xfId="0" applyFont="1" applyAlignment="1">
      <alignment horizontal="center" vertical="center"/>
    </xf>
    <xf numFmtId="167" fontId="183" fillId="0" borderId="10" xfId="0" applyFont="1" applyBorder="1" applyAlignment="1">
      <alignment horizontal="center" vertical="center"/>
    </xf>
    <xf numFmtId="167" fontId="183" fillId="0" borderId="0" xfId="0" applyFont="1" applyAlignment="1">
      <alignment horizontal="left"/>
    </xf>
    <xf numFmtId="1" fontId="183" fillId="0" borderId="20" xfId="0" applyNumberFormat="1" applyFont="1" applyBorder="1" applyAlignment="1">
      <alignment horizontal="center"/>
    </xf>
    <xf numFmtId="1" fontId="183" fillId="0" borderId="5" xfId="0" applyNumberFormat="1" applyFont="1" applyBorder="1" applyAlignment="1">
      <alignment horizontal="center"/>
    </xf>
    <xf numFmtId="1" fontId="183" fillId="0" borderId="19" xfId="0" applyNumberFormat="1" applyFont="1" applyBorder="1" applyAlignment="1">
      <alignment horizontal="center"/>
    </xf>
    <xf numFmtId="167" fontId="174" fillId="0" borderId="0" xfId="0" applyFont="1" applyAlignment="1">
      <alignment horizontal="center" vertical="center"/>
    </xf>
    <xf numFmtId="3" fontId="183" fillId="0" borderId="0" xfId="0" applyNumberFormat="1" applyFont="1" applyAlignment="1">
      <alignment horizontal="center"/>
    </xf>
    <xf numFmtId="167" fontId="182" fillId="0" borderId="0" xfId="0" applyFont="1" applyAlignment="1">
      <alignment horizontal="center" vertical="center"/>
    </xf>
    <xf numFmtId="0" fontId="186" fillId="0" borderId="0" xfId="0" applyNumberFormat="1" applyFont="1" applyAlignment="1">
      <alignment horizontal="center"/>
    </xf>
    <xf numFmtId="3" fontId="182" fillId="0" borderId="0" xfId="0" applyNumberFormat="1" applyFont="1" applyAlignment="1">
      <alignment horizontal="left" shrinkToFit="1"/>
    </xf>
    <xf numFmtId="167" fontId="182" fillId="0" borderId="0" xfId="0" applyFont="1" applyAlignment="1">
      <alignment horizontal="center" shrinkToFit="1"/>
    </xf>
    <xf numFmtId="0" fontId="183" fillId="0" borderId="20" xfId="0" applyNumberFormat="1" applyFont="1" applyBorder="1" applyAlignment="1">
      <alignment horizontal="center"/>
    </xf>
    <xf numFmtId="0" fontId="183" fillId="0" borderId="5" xfId="0" applyNumberFormat="1" applyFont="1" applyBorder="1" applyAlignment="1">
      <alignment horizontal="center"/>
    </xf>
    <xf numFmtId="0" fontId="183" fillId="0" borderId="19" xfId="0" applyNumberFormat="1" applyFont="1" applyBorder="1" applyAlignment="1">
      <alignment horizontal="center"/>
    </xf>
    <xf numFmtId="1" fontId="183" fillId="0" borderId="22" xfId="0" applyNumberFormat="1" applyFont="1" applyBorder="1" applyAlignment="1">
      <alignment horizontal="center"/>
    </xf>
    <xf numFmtId="1" fontId="183" fillId="0" borderId="23" xfId="0" applyNumberFormat="1" applyFont="1" applyBorder="1" applyAlignment="1">
      <alignment horizontal="center"/>
    </xf>
    <xf numFmtId="1" fontId="183" fillId="0" borderId="24" xfId="0" applyNumberFormat="1" applyFont="1" applyBorder="1" applyAlignment="1">
      <alignment horizontal="center"/>
    </xf>
    <xf numFmtId="167" fontId="186" fillId="0" borderId="0" xfId="0" applyFont="1" applyAlignment="1">
      <alignment horizontal="center"/>
    </xf>
    <xf numFmtId="1" fontId="183" fillId="3" borderId="20" xfId="0" applyNumberFormat="1" applyFont="1" applyFill="1" applyBorder="1" applyAlignment="1">
      <alignment horizontal="center"/>
    </xf>
    <xf numFmtId="1" fontId="183" fillId="3" borderId="5" xfId="0" applyNumberFormat="1" applyFont="1" applyFill="1" applyBorder="1" applyAlignment="1">
      <alignment horizontal="center"/>
    </xf>
    <xf numFmtId="1" fontId="183" fillId="3" borderId="19" xfId="0" applyNumberFormat="1" applyFont="1" applyFill="1" applyBorder="1" applyAlignment="1">
      <alignment horizontal="center"/>
    </xf>
    <xf numFmtId="167" fontId="193" fillId="0" borderId="2" xfId="0" applyFont="1" applyBorder="1" applyAlignment="1">
      <alignment horizontal="center"/>
    </xf>
    <xf numFmtId="167" fontId="183" fillId="0" borderId="4" xfId="0" applyFont="1" applyBorder="1" applyAlignment="1">
      <alignment horizontal="center" vertical="center" wrapText="1"/>
    </xf>
    <xf numFmtId="167" fontId="183" fillId="0" borderId="9" xfId="0" applyFont="1" applyBorder="1" applyAlignment="1">
      <alignment horizontal="center" vertical="center" wrapText="1"/>
    </xf>
    <xf numFmtId="171" fontId="182" fillId="0" borderId="0" xfId="0" applyNumberFormat="1" applyFont="1" applyAlignment="1">
      <alignment horizontal="left"/>
    </xf>
    <xf numFmtId="2" fontId="192" fillId="0" borderId="0" xfId="0" applyNumberFormat="1" applyFont="1" applyAlignment="1">
      <alignment horizontal="left"/>
    </xf>
    <xf numFmtId="3" fontId="182" fillId="0" borderId="0" xfId="0" applyNumberFormat="1" applyFont="1" applyAlignment="1">
      <alignment horizontal="center"/>
    </xf>
    <xf numFmtId="4" fontId="182" fillId="0" borderId="13" xfId="0" applyNumberFormat="1" applyFont="1" applyBorder="1" applyAlignment="1">
      <alignment vertical="center"/>
    </xf>
    <xf numFmtId="4" fontId="182" fillId="0" borderId="25" xfId="0" applyNumberFormat="1" applyFont="1" applyBorder="1" applyAlignment="1">
      <alignment vertical="center"/>
    </xf>
    <xf numFmtId="4" fontId="182" fillId="0" borderId="14" xfId="0" applyNumberFormat="1" applyFont="1" applyBorder="1" applyAlignment="1">
      <alignment vertical="center"/>
    </xf>
    <xf numFmtId="4" fontId="182" fillId="0" borderId="13" xfId="0" applyNumberFormat="1" applyFont="1" applyBorder="1" applyAlignment="1">
      <alignment horizontal="right" vertical="center"/>
    </xf>
    <xf numFmtId="4" fontId="182" fillId="0" borderId="25" xfId="0" applyNumberFormat="1" applyFont="1" applyBorder="1" applyAlignment="1">
      <alignment horizontal="right" vertical="center"/>
    </xf>
    <xf numFmtId="4" fontId="182" fillId="0" borderId="14" xfId="0" applyNumberFormat="1" applyFont="1" applyBorder="1" applyAlignment="1">
      <alignment horizontal="right" vertical="center"/>
    </xf>
    <xf numFmtId="167" fontId="203" fillId="0" borderId="0" xfId="0" applyFont="1" applyAlignment="1">
      <alignment horizontal="center"/>
    </xf>
    <xf numFmtId="167" fontId="201" fillId="0" borderId="0" xfId="0" applyFont="1" applyAlignment="1">
      <alignment horizontal="center"/>
    </xf>
    <xf numFmtId="167" fontId="200" fillId="0" borderId="0" xfId="0" applyFont="1" applyAlignment="1">
      <alignment horizontal="left"/>
    </xf>
    <xf numFmtId="167" fontId="203" fillId="0" borderId="6" xfId="0" applyFont="1" applyBorder="1" applyAlignment="1">
      <alignment horizontal="center" vertical="center" wrapText="1"/>
    </xf>
    <xf numFmtId="167" fontId="203" fillId="0" borderId="2" xfId="0" applyFont="1" applyBorder="1" applyAlignment="1">
      <alignment horizontal="center" vertical="center" wrapText="1"/>
    </xf>
    <xf numFmtId="167" fontId="203" fillId="0" borderId="8" xfId="0" applyFont="1" applyBorder="1" applyAlignment="1">
      <alignment horizontal="center" vertical="center" wrapText="1"/>
    </xf>
    <xf numFmtId="167" fontId="200" fillId="0" borderId="0" xfId="0" applyFont="1" applyAlignment="1">
      <alignment horizontal="center"/>
    </xf>
    <xf numFmtId="167" fontId="200" fillId="0" borderId="6" xfId="0" applyFont="1" applyBorder="1" applyAlignment="1">
      <alignment horizontal="center"/>
    </xf>
    <xf numFmtId="167" fontId="200" fillId="0" borderId="2" xfId="0" applyFont="1" applyBorder="1" applyAlignment="1">
      <alignment horizontal="center"/>
    </xf>
    <xf numFmtId="167" fontId="200" fillId="0" borderId="8" xfId="0" applyFont="1" applyBorder="1" applyAlignment="1">
      <alignment horizontal="center"/>
    </xf>
  </cellXfs>
  <cellStyles count="195">
    <cellStyle name="Comma" xfId="1" builtinId="3"/>
    <cellStyle name="Comma 2" xfId="3" xr:uid="{00000000-0005-0000-0000-000001000000}"/>
    <cellStyle name="Comma 2 2" xfId="10" xr:uid="{00000000-0005-0000-0000-000002000000}"/>
    <cellStyle name="Comma 2 3" xfId="21" xr:uid="{00000000-0005-0000-0000-000003000000}"/>
    <cellStyle name="Comma 3" xfId="17" xr:uid="{00000000-0005-0000-0000-000004000000}"/>
    <cellStyle name="Comma 3 2" xfId="91" xr:uid="{00000000-0005-0000-0000-000002000000}"/>
    <cellStyle name="Comma 4" xfId="92" xr:uid="{00000000-0005-0000-0000-00002F000000}"/>
    <cellStyle name="Normal" xfId="0" builtinId="0"/>
    <cellStyle name="Normal 10" xfId="19" xr:uid="{00000000-0005-0000-0000-000006000000}"/>
    <cellStyle name="Normal 10 2" xfId="89" xr:uid="{00000000-0005-0000-0000-000004000000}"/>
    <cellStyle name="Normal 100" xfId="121" xr:uid="{D00B3A7B-9C4A-41BF-9BBF-E3823B003C62}"/>
    <cellStyle name="Normal 101" xfId="122" xr:uid="{5CEBC922-4721-4095-97D4-9A6AB23AD796}"/>
    <cellStyle name="Normal 102" xfId="123" xr:uid="{E2E9D1E9-4DF9-4803-8A9C-7D3B39066A3C}"/>
    <cellStyle name="Normal 103" xfId="124" xr:uid="{0C0C15B1-94CF-47C1-A471-69744E127210}"/>
    <cellStyle name="Normal 104" xfId="125" xr:uid="{273CCE8D-A176-4606-9BEF-509783470677}"/>
    <cellStyle name="Normal 105" xfId="126" xr:uid="{120BC4F6-0270-4528-9952-AE02C9D143F5}"/>
    <cellStyle name="Normal 106" xfId="127" xr:uid="{3777FD44-5CEF-49BA-A2DE-A8E31DFEE083}"/>
    <cellStyle name="Normal 107" xfId="128" xr:uid="{6EB2E269-FA40-42D3-A629-63472BACAD53}"/>
    <cellStyle name="Normal 108" xfId="129" xr:uid="{2B52AF83-9EFE-4B91-BBB6-620A2912ED49}"/>
    <cellStyle name="Normal 109" xfId="130" xr:uid="{5FD03488-7342-423F-89E1-8D5287B1C3F2}"/>
    <cellStyle name="Normal 11" xfId="22" xr:uid="{00000000-0005-0000-0000-000007000000}"/>
    <cellStyle name="Normal 110" xfId="131" xr:uid="{B4E5E5B5-0B89-43B0-9814-3E679725AC55}"/>
    <cellStyle name="Normal 111" xfId="132" xr:uid="{B00FD293-E54E-4580-85AA-4189C2AC18E8}"/>
    <cellStyle name="Normal 112" xfId="133" xr:uid="{16E81917-3A30-4956-B2E9-2025A4A99630}"/>
    <cellStyle name="Normal 113" xfId="134" xr:uid="{3993522F-D464-4110-8C8B-A38898198DB9}"/>
    <cellStyle name="Normal 114" xfId="135" xr:uid="{C1EA0969-AE9C-4C43-9800-A4D992B6641F}"/>
    <cellStyle name="Normal 115" xfId="136" xr:uid="{8B703740-B693-46FD-ABF5-7AAD9DBCCBCF}"/>
    <cellStyle name="Normal 116" xfId="137" xr:uid="{666DDABE-2EE2-4454-B262-4E4A27A8EC59}"/>
    <cellStyle name="Normal 117" xfId="138" xr:uid="{37C5DB5C-FF61-4058-85F8-CECF072A7982}"/>
    <cellStyle name="Normal 118" xfId="139" xr:uid="{CB371610-FEDC-4096-A6A8-A283D2F8B1AF}"/>
    <cellStyle name="Normal 119" xfId="140" xr:uid="{6C9AD305-8E5E-41C4-B1C3-C954B62D4454}"/>
    <cellStyle name="Normal 12" xfId="23" xr:uid="{00000000-0005-0000-0000-000008000000}"/>
    <cellStyle name="Normal 120" xfId="141" xr:uid="{68C7F224-471C-4287-AFF0-C0C1D2B12E74}"/>
    <cellStyle name="Normal 121" xfId="142" xr:uid="{0D72F25F-4BD2-49F0-A05F-852AF2026F18}"/>
    <cellStyle name="Normal 122" xfId="143" xr:uid="{8D1F0C5F-F79D-4063-91A2-AC1D6C154F78}"/>
    <cellStyle name="Normal 123" xfId="144" xr:uid="{8F690917-6A9E-440E-93CA-D30A3A6371A6}"/>
    <cellStyle name="Normal 124" xfId="145" xr:uid="{4BDD8ED1-AF01-4AD8-999E-54676F634911}"/>
    <cellStyle name="Normal 125" xfId="146" xr:uid="{8A501A65-8F64-4D1A-9F1C-2DAB5AA11C98}"/>
    <cellStyle name="Normal 126" xfId="147" xr:uid="{E112B123-5B9A-4396-8049-052BC0BD6AE2}"/>
    <cellStyle name="Normal 127" xfId="148" xr:uid="{18B8F61C-B550-4D69-8917-8CEF88275BA1}"/>
    <cellStyle name="Normal 128" xfId="149" xr:uid="{C81AA63D-52CE-438B-A4C8-215FB1C82BE7}"/>
    <cellStyle name="Normal 129" xfId="150" xr:uid="{C08C3BB5-133E-4B6F-AB8D-76FF2E7AB9D7}"/>
    <cellStyle name="Normal 13" xfId="24" xr:uid="{00000000-0005-0000-0000-000009000000}"/>
    <cellStyle name="Normal 130" xfId="151" xr:uid="{6AE9335E-29E8-4C28-8197-67104B2AD4A3}"/>
    <cellStyle name="Normal 131" xfId="152" xr:uid="{39DBF044-61C4-4B94-B121-916267378E9C}"/>
    <cellStyle name="Normal 132" xfId="153" xr:uid="{1C5AC704-4D1C-4B87-B7CD-2E284341738D}"/>
    <cellStyle name="Normal 133" xfId="154" xr:uid="{7D592EBC-E7CC-4025-9345-4B425C04F734}"/>
    <cellStyle name="Normal 134" xfId="155" xr:uid="{55FA32EE-54BA-4345-874A-5726B7E5AB07}"/>
    <cellStyle name="Normal 135" xfId="156" xr:uid="{D942760A-AEC2-49D1-A7EA-43A92714972A}"/>
    <cellStyle name="Normal 136" xfId="157" xr:uid="{CEA78C51-E645-47B5-ACB4-C1A97E962A9A}"/>
    <cellStyle name="Normal 137" xfId="158" xr:uid="{78185F1D-6B21-44D4-B3F1-C906271DB60D}"/>
    <cellStyle name="Normal 138" xfId="159" xr:uid="{FEB5F303-D8CE-443A-9076-C8DE1E95BC8A}"/>
    <cellStyle name="Normal 139" xfId="160" xr:uid="{FF619DD5-033C-483D-AFF4-E263D72E0BB4}"/>
    <cellStyle name="Normal 14" xfId="25" xr:uid="{00000000-0005-0000-0000-00000A000000}"/>
    <cellStyle name="Normal 140" xfId="161" xr:uid="{99FC385B-366A-492D-8E30-110493B1BA3E}"/>
    <cellStyle name="Normal 141" xfId="162" xr:uid="{2904C785-3618-491C-B586-A94775728E85}"/>
    <cellStyle name="Normal 142" xfId="163" xr:uid="{11E6356D-660F-4F50-B71D-B70E74E56505}"/>
    <cellStyle name="Normal 143" xfId="164" xr:uid="{D816CAAA-D07B-4D46-B579-EBF4A66B9A45}"/>
    <cellStyle name="Normal 144" xfId="165" xr:uid="{BC3BFE59-BD26-4ABE-B607-7F0BF303C293}"/>
    <cellStyle name="Normal 145" xfId="166" xr:uid="{5C4AFC04-7A76-46A3-A4BD-D0254F5A6A64}"/>
    <cellStyle name="Normal 146" xfId="167" xr:uid="{896573F7-A5F1-425B-9B47-40203991A061}"/>
    <cellStyle name="Normal 147" xfId="168" xr:uid="{FBE55E07-A7B4-426C-BA44-6B83C0549370}"/>
    <cellStyle name="Normal 148" xfId="169" xr:uid="{6D828D9A-2F02-4DE5-B80F-327FF74FB65D}"/>
    <cellStyle name="Normal 149" xfId="170" xr:uid="{F516C5E4-10EF-4A87-B2FB-E1024DEC3C96}"/>
    <cellStyle name="Normal 15" xfId="26" xr:uid="{00000000-0005-0000-0000-00000B000000}"/>
    <cellStyle name="Normal 150" xfId="171" xr:uid="{602DFD8A-F8D3-41D5-B512-B143F8888CE6}"/>
    <cellStyle name="Normal 151" xfId="172" xr:uid="{8EB3CA79-374E-4FEF-A9CD-FF3F2C27037E}"/>
    <cellStyle name="Normal 152" xfId="173" xr:uid="{6C57ED24-9961-429B-8245-85B71F695CD5}"/>
    <cellStyle name="Normal 153" xfId="174" xr:uid="{E9224872-95E0-448D-9092-C7EE6B8548BA}"/>
    <cellStyle name="Normal 154" xfId="175" xr:uid="{0B157D07-6E4D-4D16-B8A3-12A443FC3AFB}"/>
    <cellStyle name="Normal 155" xfId="176" xr:uid="{AE45B138-FDFD-4B34-870F-04A17E997855}"/>
    <cellStyle name="Normal 156" xfId="177" xr:uid="{C9F2000A-B35A-4FDF-B31C-A1CD073D0117}"/>
    <cellStyle name="Normal 157" xfId="178" xr:uid="{3044760D-A526-4F9F-876F-D2FE3B1482BC}"/>
    <cellStyle name="Normal 158" xfId="179" xr:uid="{645EFCF0-331E-4708-BD13-0B570E117CCA}"/>
    <cellStyle name="Normal 159" xfId="180" xr:uid="{C8942F6B-2403-436C-92FB-47DA2F9EDF6D}"/>
    <cellStyle name="Normal 16" xfId="27" xr:uid="{00000000-0005-0000-0000-00000C000000}"/>
    <cellStyle name="Normal 160" xfId="181" xr:uid="{751C62F1-F83C-48AB-A3AC-10017ED57DB7}"/>
    <cellStyle name="Normal 161" xfId="182" xr:uid="{AC4B49E3-635C-485D-B2F6-AE6FB433669A}"/>
    <cellStyle name="Normal 162" xfId="183" xr:uid="{35F54CA1-1CCD-4549-B3BB-4FC2298BF187}"/>
    <cellStyle name="Normal 162 2" xfId="193" xr:uid="{0792320F-68DC-4D69-8051-4AC1245E25A9}"/>
    <cellStyle name="Normal 163" xfId="184" xr:uid="{009FBDEB-FF47-48AF-A69A-E08D7C3CE897}"/>
    <cellStyle name="Normal 164" xfId="185" xr:uid="{4C08FEDC-7B1F-446D-82F3-EC21E7402270}"/>
    <cellStyle name="Normal 165" xfId="186" xr:uid="{8B03E5F8-EFAB-4C80-B33E-3C5CFA05ADDD}"/>
    <cellStyle name="Normal 166" xfId="187" xr:uid="{91543FDF-8EF0-4B44-90D8-4012282876F3}"/>
    <cellStyle name="Normal 167" xfId="188" xr:uid="{AE1E9D49-17DB-4236-AF8C-F00EE2513508}"/>
    <cellStyle name="Normal 168" xfId="189" xr:uid="{D45A5344-3A57-483A-ACD5-1F589806494E}"/>
    <cellStyle name="Normal 169" xfId="190" xr:uid="{A6DAC8A1-1869-4DBD-A5A7-E65054CCA3A4}"/>
    <cellStyle name="Normal 17" xfId="28" xr:uid="{00000000-0005-0000-0000-00000D000000}"/>
    <cellStyle name="Normal 170" xfId="191" xr:uid="{6F152690-BCF5-41C3-884B-8447184680DA}"/>
    <cellStyle name="Normal 171" xfId="192" xr:uid="{D64A4D6F-B9A3-45B0-A8BD-F8559C690293}"/>
    <cellStyle name="Normal 171 2" xfId="194" xr:uid="{330DAF22-9E5F-4BA4-B286-17F4236D24D5}"/>
    <cellStyle name="Normal 18" xfId="29" xr:uid="{00000000-0005-0000-0000-00000E000000}"/>
    <cellStyle name="Normal 19" xfId="30" xr:uid="{00000000-0005-0000-0000-00000F000000}"/>
    <cellStyle name="Normal 2" xfId="2" xr:uid="{00000000-0005-0000-0000-000010000000}"/>
    <cellStyle name="Normal 2 2" xfId="18" xr:uid="{00000000-0005-0000-0000-000011000000}"/>
    <cellStyle name="Normal 2 2 2" xfId="94" xr:uid="{00000000-0005-0000-0000-000006000000}"/>
    <cellStyle name="Normal 2 3" xfId="20" xr:uid="{00000000-0005-0000-0000-000012000000}"/>
    <cellStyle name="Normal 2 4" xfId="87" xr:uid="{00000000-0005-0000-0000-000005000000}"/>
    <cellStyle name="Normal 20" xfId="31" xr:uid="{00000000-0005-0000-0000-000013000000}"/>
    <cellStyle name="Normal 21" xfId="32" xr:uid="{00000000-0005-0000-0000-000014000000}"/>
    <cellStyle name="Normal 22" xfId="33" xr:uid="{00000000-0005-0000-0000-000015000000}"/>
    <cellStyle name="Normal 23" xfId="34" xr:uid="{00000000-0005-0000-0000-000016000000}"/>
    <cellStyle name="Normal 24" xfId="35" xr:uid="{00000000-0005-0000-0000-000017000000}"/>
    <cellStyle name="Normal 25" xfId="36" xr:uid="{00000000-0005-0000-0000-000018000000}"/>
    <cellStyle name="Normal 26" xfId="37" xr:uid="{00000000-0005-0000-0000-000019000000}"/>
    <cellStyle name="Normal 27" xfId="38" xr:uid="{00000000-0005-0000-0000-00001A000000}"/>
    <cellStyle name="Normal 28" xfId="39" xr:uid="{00000000-0005-0000-0000-000056000000}"/>
    <cellStyle name="Normal 29" xfId="40" xr:uid="{00000000-0005-0000-0000-000057000000}"/>
    <cellStyle name="Normal 3" xfId="4" xr:uid="{00000000-0005-0000-0000-00001B000000}"/>
    <cellStyle name="Normal 3 2" xfId="11" xr:uid="{00000000-0005-0000-0000-00001C000000}"/>
    <cellStyle name="Normal 3 3" xfId="88" xr:uid="{00000000-0005-0000-0000-000007000000}"/>
    <cellStyle name="Normal 30" xfId="41" xr:uid="{00000000-0005-0000-0000-000057000000}"/>
    <cellStyle name="Normal 31" xfId="42" xr:uid="{00000000-0005-0000-0000-000058000000}"/>
    <cellStyle name="Normal 32" xfId="43" xr:uid="{00000000-0005-0000-0000-000059000000}"/>
    <cellStyle name="Normal 33" xfId="44" xr:uid="{00000000-0005-0000-0000-00005A000000}"/>
    <cellStyle name="Normal 34" xfId="45" xr:uid="{00000000-0005-0000-0000-00005B000000}"/>
    <cellStyle name="Normal 35" xfId="46" xr:uid="{00000000-0005-0000-0000-00005C000000}"/>
    <cellStyle name="Normal 36" xfId="47" xr:uid="{00000000-0005-0000-0000-00005D000000}"/>
    <cellStyle name="Normal 37" xfId="48" xr:uid="{00000000-0005-0000-0000-00005E000000}"/>
    <cellStyle name="Normal 38" xfId="49" xr:uid="{00000000-0005-0000-0000-00005F000000}"/>
    <cellStyle name="Normal 39" xfId="50" xr:uid="{00000000-0005-0000-0000-000060000000}"/>
    <cellStyle name="Normal 4" xfId="5" xr:uid="{00000000-0005-0000-0000-00001D000000}"/>
    <cellStyle name="Normal 4 2" xfId="93" xr:uid="{00000000-0005-0000-0000-000008000000}"/>
    <cellStyle name="Normal 4 3" xfId="97" xr:uid="{00000000-0005-0000-0000-000008000000}"/>
    <cellStyle name="Normal 40" xfId="51" xr:uid="{00000000-0005-0000-0000-000061000000}"/>
    <cellStyle name="Normal 41" xfId="52" xr:uid="{00000000-0005-0000-0000-000062000000}"/>
    <cellStyle name="Normal 42" xfId="53" xr:uid="{00000000-0005-0000-0000-000063000000}"/>
    <cellStyle name="Normal 43" xfId="54" xr:uid="{00000000-0005-0000-0000-000064000000}"/>
    <cellStyle name="Normal 44" xfId="55" xr:uid="{00000000-0005-0000-0000-000065000000}"/>
    <cellStyle name="Normal 45" xfId="56" xr:uid="{00000000-0005-0000-0000-000066000000}"/>
    <cellStyle name="Normal 46" xfId="57" xr:uid="{00000000-0005-0000-0000-000067000000}"/>
    <cellStyle name="Normal 47" xfId="58" xr:uid="{00000000-0005-0000-0000-000068000000}"/>
    <cellStyle name="Normal 48" xfId="59" xr:uid="{00000000-0005-0000-0000-000069000000}"/>
    <cellStyle name="Normal 49" xfId="60" xr:uid="{00000000-0005-0000-0000-00006A000000}"/>
    <cellStyle name="Normal 5" xfId="6" xr:uid="{00000000-0005-0000-0000-00001E000000}"/>
    <cellStyle name="Normal 5 2" xfId="12" xr:uid="{00000000-0005-0000-0000-00001F000000}"/>
    <cellStyle name="Normal 5 3" xfId="86" xr:uid="{00000000-0005-0000-0000-000032000000}"/>
    <cellStyle name="Normal 50" xfId="61" xr:uid="{00000000-0005-0000-0000-00006B000000}"/>
    <cellStyle name="Normal 51" xfId="62" xr:uid="{00000000-0005-0000-0000-00006C000000}"/>
    <cellStyle name="Normal 52" xfId="63" xr:uid="{00000000-0005-0000-0000-00006D000000}"/>
    <cellStyle name="Normal 53" xfId="64" xr:uid="{00000000-0005-0000-0000-00006E000000}"/>
    <cellStyle name="Normal 54" xfId="65" xr:uid="{00000000-0005-0000-0000-00006F000000}"/>
    <cellStyle name="Normal 55" xfId="66" xr:uid="{00000000-0005-0000-0000-000070000000}"/>
    <cellStyle name="Normal 56" xfId="67" xr:uid="{00000000-0005-0000-0000-000071000000}"/>
    <cellStyle name="Normal 57" xfId="68" xr:uid="{00000000-0005-0000-0000-000072000000}"/>
    <cellStyle name="Normal 58" xfId="69" xr:uid="{00000000-0005-0000-0000-000073000000}"/>
    <cellStyle name="Normal 59" xfId="70" xr:uid="{00000000-0005-0000-0000-000074000000}"/>
    <cellStyle name="Normal 6" xfId="8" xr:uid="{00000000-0005-0000-0000-000020000000}"/>
    <cellStyle name="Normal 6 2" xfId="13" xr:uid="{00000000-0005-0000-0000-000021000000}"/>
    <cellStyle name="Normal 6 3" xfId="90" xr:uid="{00000000-0005-0000-0000-000009000000}"/>
    <cellStyle name="Normal 60" xfId="71" xr:uid="{00000000-0005-0000-0000-000075000000}"/>
    <cellStyle name="Normal 61" xfId="72" xr:uid="{00000000-0005-0000-0000-000076000000}"/>
    <cellStyle name="Normal 62" xfId="73" xr:uid="{00000000-0005-0000-0000-000077000000}"/>
    <cellStyle name="Normal 63" xfId="74" xr:uid="{C40B272B-CE4A-49CA-A961-B0C4B771DFFB}"/>
    <cellStyle name="Normal 64" xfId="75" xr:uid="{00000000-0005-0000-0000-000079000000}"/>
    <cellStyle name="Normal 65" xfId="76" xr:uid="{00000000-0005-0000-0000-00007A000000}"/>
    <cellStyle name="Normal 66" xfId="77" xr:uid="{00000000-0005-0000-0000-00007B000000}"/>
    <cellStyle name="Normal 67" xfId="78" xr:uid="{00000000-0005-0000-0000-00007C000000}"/>
    <cellStyle name="Normal 68" xfId="79" xr:uid="{00000000-0005-0000-0000-00007D000000}"/>
    <cellStyle name="Normal 69" xfId="80" xr:uid="{00000000-0005-0000-0000-00007E000000}"/>
    <cellStyle name="Normal 7" xfId="9" xr:uid="{00000000-0005-0000-0000-000022000000}"/>
    <cellStyle name="Normal 7 2" xfId="14" xr:uid="{00000000-0005-0000-0000-000023000000}"/>
    <cellStyle name="Normal 70" xfId="81" xr:uid="{00000000-0005-0000-0000-00007F000000}"/>
    <cellStyle name="Normal 71" xfId="82" xr:uid="{00000000-0005-0000-0000-000080000000}"/>
    <cellStyle name="Normal 72" xfId="83" xr:uid="{00000000-0005-0000-0000-000081000000}"/>
    <cellStyle name="Normal 73" xfId="84" xr:uid="{00000000-0005-0000-0000-000082000000}"/>
    <cellStyle name="Normal 74" xfId="85" xr:uid="{00000000-0005-0000-0000-000085000000}"/>
    <cellStyle name="Normal 75" xfId="95" xr:uid="{00000000-0005-0000-0000-00008D000000}"/>
    <cellStyle name="Normal 76" xfId="96" xr:uid="{00000000-0005-0000-0000-00008E000000}"/>
    <cellStyle name="Normal 77" xfId="98" xr:uid="{00000000-0005-0000-0000-000090000000}"/>
    <cellStyle name="Normal 78" xfId="99" xr:uid="{00000000-0005-0000-0000-000091000000}"/>
    <cellStyle name="Normal 79" xfId="100" xr:uid="{00000000-0005-0000-0000-000092000000}"/>
    <cellStyle name="Normal 8" xfId="15" xr:uid="{00000000-0005-0000-0000-000024000000}"/>
    <cellStyle name="Normal 80" xfId="101" xr:uid="{00000000-0005-0000-0000-000093000000}"/>
    <cellStyle name="Normal 81" xfId="102" xr:uid="{ECA87ECE-4A06-4307-BE07-5FE66B5C7788}"/>
    <cellStyle name="Normal 82" xfId="103" xr:uid="{52945C78-73D8-4388-8C70-B3FDE74ECF1C}"/>
    <cellStyle name="Normal 83" xfId="104" xr:uid="{7E064277-7035-49BB-BD0F-C2E5FECA11CC}"/>
    <cellStyle name="Normal 84" xfId="105" xr:uid="{D75DD08E-F0BC-4BF3-A6B3-BE0F4B9180BC}"/>
    <cellStyle name="Normal 85" xfId="106" xr:uid="{74322BE0-3215-4B0E-B703-1CF5243B1EC6}"/>
    <cellStyle name="Normal 86" xfId="107" xr:uid="{A350DCCE-30C3-4B27-A83B-418D48CC65FB}"/>
    <cellStyle name="Normal 87" xfId="108" xr:uid="{15FEC3E1-E4AD-49AD-85E0-52B55CB1BF6B}"/>
    <cellStyle name="Normal 88" xfId="109" xr:uid="{3F70770F-A273-436A-82FF-46DEB8F368CD}"/>
    <cellStyle name="Normal 89" xfId="110" xr:uid="{9362D941-5CA1-4294-85B8-9CFAEEB52636}"/>
    <cellStyle name="Normal 9" xfId="16" xr:uid="{00000000-0005-0000-0000-000025000000}"/>
    <cellStyle name="Normal 90" xfId="111" xr:uid="{7C63268D-CF3E-4E7E-BDE7-B366E2235C45}"/>
    <cellStyle name="Normal 91" xfId="112" xr:uid="{1AB15AE7-364A-4120-931F-905252CD8F46}"/>
    <cellStyle name="Normal 92" xfId="113" xr:uid="{6001C314-5A02-440A-A1C0-A3F06455C899}"/>
    <cellStyle name="Normal 93" xfId="114" xr:uid="{8E2FDB8C-D118-42B9-983B-201F9BF6226B}"/>
    <cellStyle name="Normal 94" xfId="115" xr:uid="{B237E8D2-0915-4F15-9392-A9EF4A825CCC}"/>
    <cellStyle name="Normal 95" xfId="116" xr:uid="{ABF95293-AB8A-4955-B71B-25A3DA0307B5}"/>
    <cellStyle name="Normal 96" xfId="117" xr:uid="{66C43430-2929-4508-B4FB-04AFD46A604A}"/>
    <cellStyle name="Normal 97" xfId="118" xr:uid="{2A374E17-288A-4BCC-BC26-8CCC40F9C605}"/>
    <cellStyle name="Normal 98" xfId="119" xr:uid="{EB922534-58D8-4D02-9D27-1215A0ADA45F}"/>
    <cellStyle name="Normal 99" xfId="120" xr:uid="{36EB95FB-8C03-4958-8E59-926DDC478383}"/>
    <cellStyle name="標準_Sheet1" xfId="7" xr:uid="{00000000-0005-0000-0000-000027000000}"/>
  </cellStyles>
  <dxfs count="1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general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000000"/>
      <color rgb="FFE8E9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120779</xdr:colOff>
      <xdr:row>97</xdr:row>
      <xdr:rowOff>172357</xdr:rowOff>
    </xdr:from>
    <xdr:to>
      <xdr:col>2</xdr:col>
      <xdr:colOff>627118</xdr:colOff>
      <xdr:row>102</xdr:row>
      <xdr:rowOff>52340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1DAD19-69C1-460B-B855-0AF7DC666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59828">
          <a:off x="120779" y="14733183"/>
          <a:ext cx="1525100" cy="815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182218</xdr:colOff>
      <xdr:row>97</xdr:row>
      <xdr:rowOff>8282</xdr:rowOff>
    </xdr:from>
    <xdr:to>
      <xdr:col>8</xdr:col>
      <xdr:colOff>467336</xdr:colOff>
      <xdr:row>99</xdr:row>
      <xdr:rowOff>107908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F597D9-7F92-4050-9A24-E7D7AFA1B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57022" y="14569108"/>
          <a:ext cx="1452966" cy="513756"/>
        </a:xfrm>
        <a:prstGeom prst="rect">
          <a:avLst/>
        </a:prstGeom>
      </xdr:spPr>
    </xdr:pic>
    <xdr:clientData/>
  </xdr:twoCellAnchor>
  <xdr:twoCellAnchor>
    <xdr:from>
      <xdr:col>6</xdr:col>
      <xdr:colOff>248478</xdr:colOff>
      <xdr:row>100</xdr:row>
      <xdr:rowOff>16565</xdr:rowOff>
    </xdr:from>
    <xdr:to>
      <xdr:col>8</xdr:col>
      <xdr:colOff>265043</xdr:colOff>
      <xdr:row>100</xdr:row>
      <xdr:rowOff>16565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44A85FA-43B0-8773-47F6-0E341BAFF65C}"/>
            </a:ext>
          </a:extLst>
        </xdr:cNvPr>
        <xdr:cNvCxnSpPr/>
      </xdr:nvCxnSpPr>
      <xdr:spPr bwMode="auto">
        <a:xfrm>
          <a:off x="5723282" y="15198587"/>
          <a:ext cx="1184413" cy="0"/>
        </a:xfrm>
        <a:prstGeom prst="line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80683</xdr:colOff>
      <xdr:row>81</xdr:row>
      <xdr:rowOff>71717</xdr:rowOff>
    </xdr:from>
    <xdr:to>
      <xdr:col>8</xdr:col>
      <xdr:colOff>1733013</xdr:colOff>
      <xdr:row>88</xdr:row>
      <xdr:rowOff>145333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4BF073-9F91-4799-ACE5-167C36582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6471" y="17857693"/>
          <a:ext cx="3068754" cy="16424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52754</xdr:colOff>
      <xdr:row>89</xdr:row>
      <xdr:rowOff>152400</xdr:rowOff>
    </xdr:from>
    <xdr:to>
      <xdr:col>9</xdr:col>
      <xdr:colOff>451455</xdr:colOff>
      <xdr:row>96</xdr:row>
      <xdr:rowOff>114948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9FA4BE-8588-4325-B258-EE06B7F4C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4754" y="19847169"/>
          <a:ext cx="2883993" cy="15217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17</xdr:row>
      <xdr:rowOff>1</xdr:rowOff>
    </xdr:from>
    <xdr:to>
      <xdr:col>10</xdr:col>
      <xdr:colOff>514350</xdr:colOff>
      <xdr:row>20</xdr:row>
      <xdr:rowOff>180211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7B324F-A6F6-4F54-B7EC-2A71A92B8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0" y="3533776"/>
          <a:ext cx="2638425" cy="80886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16</xdr:row>
      <xdr:rowOff>190500</xdr:rowOff>
    </xdr:from>
    <xdr:to>
      <xdr:col>3</xdr:col>
      <xdr:colOff>9525</xdr:colOff>
      <xdr:row>20</xdr:row>
      <xdr:rowOff>161160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1532A9-8A11-45E2-AD72-666A18D3E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3514725"/>
          <a:ext cx="2638425" cy="8088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Minhvd\AppData\Local\Microsoft\Windows\Temporary%20Internet%20Files\Content.Outlook\O4Q61436\CMA_014%20Delivery%20Sheet%202014_03_25%20No.%2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7_&#36664;&#20986;&#20837;\10.YEAR%202015\1.%20EXPORT\Apr\Bang%20gia%20xuat%20khau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nhvd\AppData\Local\Microsoft\Windows\INetCache\Content.Outlook\BFLJRUJG\CMV_INV24001-CMA001%20Delivery%20Sheet%202024-01-0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nhvd\AppData\Local\Microsoft\Windows\INetCache\Content.Outlook\QLTUZ7TB\CMV_INV19051-CMA016%20Delivery%20Sheet%202019-04-2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iht\Desktop\B&#193;O%20GIA%20H&#192;NG%20B&#193;N%20CMA%20T&#7914;%20TH&#193;NG%204.2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hakkamon_p\Desktop\&#3626;&#3641;&#3605;&#3619;&#3585;&#3634;&#3619;&#3612;&#3621;&#3636;&#3605;%202023\MMLang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OI/4.IMPORT%202022/M1129%20,%20TAX%20CMVINV22-007/07.%2022-007%20to%20(CMA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7_&#36664;&#20986;&#20837;\15.1.%20YEAR%202021\1.%20EXPORT\12.%20DEC\4.%2021-204%20(CM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A"/>
      <sheetName val="Shipment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J"/>
      <sheetName val="CMA"/>
      <sheetName val="CCM"/>
      <sheetName val="KOR"/>
      <sheetName val="SMC"/>
    </sheetNames>
    <sheetDataSet>
      <sheetData sheetId="0">
        <row r="1">
          <cell r="A1" t="str">
            <v>DANH MỤC VẬT LIỆU, SẢN PHẨM, HÀNG HOÁ (VLSPHH)</v>
          </cell>
        </row>
      </sheetData>
      <sheetData sheetId="1">
        <row r="1">
          <cell r="A1" t="str">
            <v>DANH MỤC VẬT LIỆU, SẢN PHẨM, HÀNG HOÁ (VLSPHH)</v>
          </cell>
        </row>
        <row r="2">
          <cell r="A2" t="str">
            <v>Áp dụng từ 01/01/2013</v>
          </cell>
        </row>
        <row r="3">
          <cell r="A3" t="str">
            <v>Khách hàng: CITIZEN MACHINERY ASIA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Danh sách mã sản phẩm không sử dụng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 t="str">
            <v>STT</v>
          </cell>
          <cell r="B8" t="str">
            <v>MÃ SP</v>
          </cell>
          <cell r="C8">
            <v>0</v>
          </cell>
          <cell r="D8" t="str">
            <v>Tên Tiếng anh</v>
          </cell>
          <cell r="E8" t="str">
            <v>Tên Tiếng Việt</v>
          </cell>
          <cell r="F8">
            <v>0</v>
          </cell>
          <cell r="G8" t="str">
            <v xml:space="preserve"> Trọng lượng </v>
          </cell>
          <cell r="H8" t="str">
            <v xml:space="preserve"> Giờ gia công </v>
          </cell>
          <cell r="I8" t="str">
            <v>Đơn giá hiện tại sử dụng</v>
          </cell>
          <cell r="J8" t="str">
            <v xml:space="preserve">Đơn giá thay đổi lần 1 </v>
          </cell>
          <cell r="K8" t="str">
            <v>Đơn giá thay đổi lần 2</v>
          </cell>
          <cell r="L8" t="str">
            <v>Đơn vị tiền tệ</v>
          </cell>
          <cell r="M8" t="str">
            <v>Khách hàng</v>
          </cell>
          <cell r="N8" t="str">
            <v>giam gia</v>
          </cell>
        </row>
        <row r="9">
          <cell r="A9">
            <v>1</v>
          </cell>
          <cell r="B9" t="str">
            <v>TP346</v>
          </cell>
          <cell r="C9" t="str">
            <v>0615-334-4C</v>
          </cell>
          <cell r="D9" t="str">
            <v>STOCK FOR A220</v>
          </cell>
          <cell r="E9" t="str">
            <v>Đầu bàn gá dao cho máy tiện A220</v>
          </cell>
          <cell r="F9">
            <v>0</v>
          </cell>
          <cell r="G9">
            <v>34</v>
          </cell>
          <cell r="H9" t="str">
            <v xml:space="preserve"> -   </v>
          </cell>
          <cell r="I9">
            <v>5508</v>
          </cell>
          <cell r="J9">
            <v>0</v>
          </cell>
          <cell r="K9">
            <v>0</v>
          </cell>
          <cell r="L9" t="str">
            <v xml:space="preserve"> -   </v>
          </cell>
          <cell r="M9" t="str">
            <v>CMA</v>
          </cell>
          <cell r="N9">
            <v>0</v>
          </cell>
        </row>
        <row r="10">
          <cell r="A10">
            <v>2</v>
          </cell>
          <cell r="B10" t="str">
            <v>TP347</v>
          </cell>
          <cell r="C10" t="str">
            <v>0615-362-1C</v>
          </cell>
          <cell r="D10" t="str">
            <v>BACK STOCK FOR A220</v>
          </cell>
          <cell r="E10" t="str">
            <v>Bàn gá cho máy tiện A220</v>
          </cell>
          <cell r="F10">
            <v>0</v>
          </cell>
          <cell r="G10">
            <v>20</v>
          </cell>
          <cell r="H10" t="str">
            <v xml:space="preserve"> -   </v>
          </cell>
          <cell r="I10">
            <v>3564</v>
          </cell>
          <cell r="J10">
            <v>0</v>
          </cell>
          <cell r="K10">
            <v>0</v>
          </cell>
          <cell r="L10" t="str">
            <v xml:space="preserve"> -   </v>
          </cell>
          <cell r="M10" t="str">
            <v>CMA</v>
          </cell>
          <cell r="N10">
            <v>0</v>
          </cell>
        </row>
        <row r="11">
          <cell r="A11">
            <v>3</v>
          </cell>
          <cell r="B11" t="str">
            <v>TP348</v>
          </cell>
          <cell r="C11" t="str">
            <v>0617-088-2</v>
          </cell>
          <cell r="D11" t="str">
            <v>CROSS SLIDE FOR A220</v>
          </cell>
          <cell r="E11" t="str">
            <v>Bàn trượt ngang cho máy tiện A220</v>
          </cell>
          <cell r="F11">
            <v>0</v>
          </cell>
          <cell r="G11">
            <v>61</v>
          </cell>
          <cell r="H11" t="str">
            <v xml:space="preserve"> -   </v>
          </cell>
          <cell r="I11">
            <v>9882</v>
          </cell>
          <cell r="J11">
            <v>0</v>
          </cell>
          <cell r="K11">
            <v>0</v>
          </cell>
          <cell r="L11" t="str">
            <v xml:space="preserve"> -   </v>
          </cell>
          <cell r="M11" t="str">
            <v>CMA</v>
          </cell>
          <cell r="N11">
            <v>0</v>
          </cell>
        </row>
        <row r="12">
          <cell r="A12">
            <v>4</v>
          </cell>
          <cell r="B12" t="str">
            <v>TP367</v>
          </cell>
          <cell r="C12" t="str">
            <v>617-084-2C</v>
          </cell>
          <cell r="D12" t="str">
            <v>X SLIDE FOR A32</v>
          </cell>
          <cell r="E12" t="str">
            <v>Bàn trượt X cho máy tiện A32</v>
          </cell>
          <cell r="F12">
            <v>0</v>
          </cell>
          <cell r="G12">
            <v>95</v>
          </cell>
          <cell r="H12" t="str">
            <v xml:space="preserve"> -   </v>
          </cell>
          <cell r="I12">
            <v>16920</v>
          </cell>
          <cell r="J12">
            <v>0</v>
          </cell>
          <cell r="K12">
            <v>0</v>
          </cell>
          <cell r="L12" t="str">
            <v xml:space="preserve"> -   </v>
          </cell>
          <cell r="M12" t="str">
            <v>CMA</v>
          </cell>
          <cell r="N12">
            <v>0</v>
          </cell>
        </row>
        <row r="13">
          <cell r="A13">
            <v>5</v>
          </cell>
          <cell r="B13" t="str">
            <v>TP375</v>
          </cell>
          <cell r="C13" t="str">
            <v>615-208-1C</v>
          </cell>
          <cell r="D13" t="str">
            <v>BACK HEAD STOCK L20</v>
          </cell>
          <cell r="E13" t="str">
            <v>Bàn trượt đế máy tiện L20</v>
          </cell>
          <cell r="F13">
            <v>0</v>
          </cell>
          <cell r="G13">
            <v>20</v>
          </cell>
          <cell r="H13" t="str">
            <v xml:space="preserve"> -   </v>
          </cell>
          <cell r="I13">
            <v>3980</v>
          </cell>
          <cell r="J13">
            <v>0</v>
          </cell>
          <cell r="K13">
            <v>0</v>
          </cell>
          <cell r="L13" t="str">
            <v xml:space="preserve"> -   </v>
          </cell>
          <cell r="M13" t="str">
            <v>CMA</v>
          </cell>
          <cell r="N13">
            <v>0</v>
          </cell>
        </row>
        <row r="14">
          <cell r="A14">
            <v>6</v>
          </cell>
          <cell r="B14" t="str">
            <v>TP404</v>
          </cell>
          <cell r="C14" t="str">
            <v>616-302-1C</v>
          </cell>
          <cell r="D14" t="str">
            <v>CROSS SLIDE FOR A220</v>
          </cell>
          <cell r="E14" t="str">
            <v>Bàn trượt ngang cho máy tiện A220</v>
          </cell>
          <cell r="F14">
            <v>0</v>
          </cell>
          <cell r="G14">
            <v>35</v>
          </cell>
          <cell r="H14" t="str">
            <v xml:space="preserve"> -   </v>
          </cell>
          <cell r="I14">
            <v>5994</v>
          </cell>
          <cell r="J14">
            <v>0</v>
          </cell>
          <cell r="K14">
            <v>0</v>
          </cell>
          <cell r="L14" t="str">
            <v xml:space="preserve"> -   </v>
          </cell>
          <cell r="M14" t="str">
            <v>CMA</v>
          </cell>
          <cell r="N14">
            <v>0</v>
          </cell>
        </row>
        <row r="15">
          <cell r="A15">
            <v>7</v>
          </cell>
          <cell r="B15" t="str">
            <v>TP666</v>
          </cell>
          <cell r="C15" t="str">
            <v>616-302-1C</v>
          </cell>
          <cell r="D15" t="str">
            <v>CROSS SLIDE FOR A220</v>
          </cell>
          <cell r="E15" t="str">
            <v>Bàn trượt ngang cho máy tiện A220</v>
          </cell>
          <cell r="F15">
            <v>0</v>
          </cell>
          <cell r="G15">
            <v>35</v>
          </cell>
          <cell r="H15" t="str">
            <v xml:space="preserve"> -   </v>
          </cell>
          <cell r="I15">
            <v>5994</v>
          </cell>
          <cell r="J15">
            <v>0</v>
          </cell>
          <cell r="K15">
            <v>0</v>
          </cell>
          <cell r="L15" t="str">
            <v xml:space="preserve"> -   </v>
          </cell>
          <cell r="M15" t="str">
            <v>CMA</v>
          </cell>
          <cell r="N15">
            <v>0</v>
          </cell>
        </row>
        <row r="16">
          <cell r="A16">
            <v>8</v>
          </cell>
          <cell r="B16" t="str">
            <v>TP440</v>
          </cell>
          <cell r="C16" t="str">
            <v>0615-467-1C</v>
          </cell>
          <cell r="D16" t="str">
            <v>BRACKET 1/2 L12</v>
          </cell>
          <cell r="E16" t="str">
            <v>Khung giá đỡ máy tiện L12</v>
          </cell>
          <cell r="F16">
            <v>0</v>
          </cell>
          <cell r="G16">
            <v>10</v>
          </cell>
          <cell r="H16">
            <v>0</v>
          </cell>
          <cell r="I16">
            <v>1930</v>
          </cell>
          <cell r="J16">
            <v>0</v>
          </cell>
          <cell r="K16">
            <v>0</v>
          </cell>
          <cell r="L16">
            <v>0</v>
          </cell>
          <cell r="M16" t="str">
            <v>CMA</v>
          </cell>
          <cell r="N16">
            <v>0</v>
          </cell>
        </row>
        <row r="17">
          <cell r="A17">
            <v>9</v>
          </cell>
          <cell r="B17" t="str">
            <v>TP586</v>
          </cell>
          <cell r="C17" t="str">
            <v>618-069-5C</v>
          </cell>
          <cell r="D17" t="str">
            <v>BED FOR A220</v>
          </cell>
          <cell r="E17" t="str">
            <v>Đế máy tiện A220</v>
          </cell>
          <cell r="F17">
            <v>0</v>
          </cell>
          <cell r="G17">
            <v>1390</v>
          </cell>
          <cell r="H17" t="str">
            <v xml:space="preserve"> -   </v>
          </cell>
          <cell r="I17">
            <v>227140</v>
          </cell>
          <cell r="J17">
            <v>0</v>
          </cell>
          <cell r="K17">
            <v>0</v>
          </cell>
          <cell r="L17" t="str">
            <v xml:space="preserve"> -   </v>
          </cell>
          <cell r="M17" t="str">
            <v>CMA</v>
          </cell>
          <cell r="N17">
            <v>0</v>
          </cell>
        </row>
        <row r="18">
          <cell r="A18">
            <v>10</v>
          </cell>
          <cell r="B18" t="str">
            <v>TP370</v>
          </cell>
          <cell r="C18" t="str">
            <v>0615-468-2C</v>
          </cell>
          <cell r="D18" t="str">
            <v>HEAD STOCK FOR L12</v>
          </cell>
          <cell r="E18" t="str">
            <v>Đầu bàn gá máy tiện L12</v>
          </cell>
          <cell r="F18">
            <v>0</v>
          </cell>
          <cell r="G18">
            <v>37.5</v>
          </cell>
          <cell r="H18" t="str">
            <v xml:space="preserve"> -   </v>
          </cell>
          <cell r="I18">
            <v>6825</v>
          </cell>
          <cell r="J18">
            <v>0</v>
          </cell>
          <cell r="K18">
            <v>0</v>
          </cell>
          <cell r="L18" t="str">
            <v xml:space="preserve"> -   </v>
          </cell>
          <cell r="M18" t="str">
            <v>CMA</v>
          </cell>
          <cell r="N18">
            <v>0</v>
          </cell>
        </row>
        <row r="19">
          <cell r="A19">
            <v>11</v>
          </cell>
          <cell r="B19" t="str">
            <v>TP457</v>
          </cell>
          <cell r="C19" t="str">
            <v>0617-106-1C</v>
          </cell>
          <cell r="D19" t="str">
            <v>TOOL POST B1216E</v>
          </cell>
          <cell r="E19" t="str">
            <v>Đầu máy tiện B1216E</v>
          </cell>
          <cell r="F19">
            <v>0</v>
          </cell>
          <cell r="G19">
            <v>94</v>
          </cell>
          <cell r="H19" t="str">
            <v xml:space="preserve"> -   </v>
          </cell>
          <cell r="I19">
            <v>17575</v>
          </cell>
          <cell r="J19">
            <v>0</v>
          </cell>
          <cell r="K19">
            <v>0</v>
          </cell>
          <cell r="L19" t="str">
            <v xml:space="preserve"> -   </v>
          </cell>
          <cell r="M19" t="str">
            <v>CMA</v>
          </cell>
          <cell r="N19" t="str">
            <v>TP353</v>
          </cell>
        </row>
        <row r="20">
          <cell r="A20">
            <v>12</v>
          </cell>
          <cell r="B20" t="str">
            <v>TP538</v>
          </cell>
          <cell r="C20" t="str">
            <v>0618-081-2C</v>
          </cell>
          <cell r="D20" t="str">
            <v>BED FOR L12</v>
          </cell>
          <cell r="E20" t="str">
            <v>Thân máy tiện L12</v>
          </cell>
          <cell r="F20">
            <v>0</v>
          </cell>
          <cell r="G20">
            <v>872</v>
          </cell>
          <cell r="H20" t="str">
            <v xml:space="preserve"> -   </v>
          </cell>
          <cell r="I20">
            <v>148512</v>
          </cell>
          <cell r="J20">
            <v>0</v>
          </cell>
          <cell r="K20">
            <v>0</v>
          </cell>
          <cell r="L20" t="str">
            <v xml:space="preserve"> -   </v>
          </cell>
          <cell r="M20" t="str">
            <v>CMA</v>
          </cell>
          <cell r="N20" t="str">
            <v>TP405</v>
          </cell>
        </row>
        <row r="21">
          <cell r="A21">
            <v>13</v>
          </cell>
          <cell r="B21" t="str">
            <v>TP537</v>
          </cell>
          <cell r="C21" t="str">
            <v>0617-107-1C</v>
          </cell>
          <cell r="D21" t="str">
            <v>BED B1216E</v>
          </cell>
          <cell r="E21" t="str">
            <v>Đế máy tiện B1216E</v>
          </cell>
          <cell r="F21">
            <v>0</v>
          </cell>
          <cell r="G21">
            <v>523</v>
          </cell>
          <cell r="H21" t="str">
            <v xml:space="preserve"> -   </v>
          </cell>
          <cell r="I21">
            <v>95900</v>
          </cell>
          <cell r="J21">
            <v>0</v>
          </cell>
          <cell r="K21">
            <v>0</v>
          </cell>
          <cell r="L21" t="str">
            <v xml:space="preserve"> -   </v>
          </cell>
          <cell r="M21" t="str">
            <v>CMA</v>
          </cell>
          <cell r="N21" t="str">
            <v>TP351</v>
          </cell>
        </row>
        <row r="22">
          <cell r="A22">
            <v>14</v>
          </cell>
          <cell r="B22" t="str">
            <v>TP560</v>
          </cell>
          <cell r="C22" t="str">
            <v>617-085 C</v>
          </cell>
          <cell r="D22" t="str">
            <v>Y SLIDE FOR A32</v>
          </cell>
          <cell r="E22" t="str">
            <v>Bàn trượt Y cho máy tiện A32</v>
          </cell>
          <cell r="F22">
            <v>0</v>
          </cell>
          <cell r="G22">
            <v>72</v>
          </cell>
          <cell r="H22" t="str">
            <v xml:space="preserve"> -   </v>
          </cell>
          <cell r="I22">
            <v>12240</v>
          </cell>
          <cell r="J22">
            <v>0</v>
          </cell>
          <cell r="K22">
            <v>0</v>
          </cell>
          <cell r="L22" t="str">
            <v xml:space="preserve"> -   </v>
          </cell>
          <cell r="M22" t="str">
            <v>CMA</v>
          </cell>
          <cell r="N22" t="str">
            <v>TP380</v>
          </cell>
        </row>
        <row r="23">
          <cell r="A23">
            <v>15</v>
          </cell>
          <cell r="B23" t="str">
            <v>TP565</v>
          </cell>
          <cell r="C23" t="str">
            <v>0617-116C</v>
          </cell>
          <cell r="D23" t="str">
            <v>CROSS SLIDE</v>
          </cell>
          <cell r="E23">
            <v>0</v>
          </cell>
          <cell r="F23">
            <v>0</v>
          </cell>
          <cell r="G23">
            <v>46</v>
          </cell>
          <cell r="H23">
            <v>0</v>
          </cell>
          <cell r="I23">
            <v>8640</v>
          </cell>
          <cell r="J23">
            <v>0</v>
          </cell>
          <cell r="K23">
            <v>0</v>
          </cell>
          <cell r="L23">
            <v>0</v>
          </cell>
          <cell r="M23" t="str">
            <v>CMA</v>
          </cell>
          <cell r="N23">
            <v>0</v>
          </cell>
        </row>
        <row r="24">
          <cell r="A24">
            <v>16</v>
          </cell>
          <cell r="B24" t="str">
            <v>TP618</v>
          </cell>
          <cell r="C24" t="str">
            <v>0617-115-1C</v>
          </cell>
          <cell r="D24" t="str">
            <v>TOOL POST</v>
          </cell>
          <cell r="E24">
            <v>0</v>
          </cell>
          <cell r="F24">
            <v>0</v>
          </cell>
          <cell r="G24">
            <v>141</v>
          </cell>
          <cell r="H24">
            <v>0</v>
          </cell>
          <cell r="I24">
            <v>24325</v>
          </cell>
          <cell r="J24">
            <v>0</v>
          </cell>
          <cell r="K24">
            <v>0</v>
          </cell>
          <cell r="L24">
            <v>0</v>
          </cell>
          <cell r="M24" t="str">
            <v>CMA</v>
          </cell>
          <cell r="N24">
            <v>0</v>
          </cell>
        </row>
        <row r="25">
          <cell r="A25">
            <v>17</v>
          </cell>
          <cell r="B25" t="str">
            <v>TP745</v>
          </cell>
          <cell r="C25" t="str">
            <v>0617-115-1C</v>
          </cell>
          <cell r="D25" t="str">
            <v>TOOL POST</v>
          </cell>
          <cell r="E25">
            <v>0</v>
          </cell>
          <cell r="F25">
            <v>0</v>
          </cell>
          <cell r="G25">
            <v>141</v>
          </cell>
          <cell r="H25">
            <v>0</v>
          </cell>
          <cell r="I25">
            <v>24325</v>
          </cell>
          <cell r="J25">
            <v>0</v>
          </cell>
          <cell r="K25">
            <v>0</v>
          </cell>
          <cell r="L25">
            <v>0</v>
          </cell>
          <cell r="M25" t="str">
            <v>CMA</v>
          </cell>
          <cell r="N25">
            <v>0</v>
          </cell>
        </row>
        <row r="26">
          <cell r="A26">
            <v>18</v>
          </cell>
          <cell r="B26" t="str">
            <v>TP619</v>
          </cell>
          <cell r="C26" t="str">
            <v>0616-397C</v>
          </cell>
          <cell r="D26" t="str">
            <v>X SLIDE</v>
          </cell>
          <cell r="E26">
            <v>0</v>
          </cell>
          <cell r="F26">
            <v>0</v>
          </cell>
          <cell r="G26">
            <v>19</v>
          </cell>
          <cell r="H26">
            <v>0</v>
          </cell>
          <cell r="I26">
            <v>3700</v>
          </cell>
          <cell r="J26">
            <v>0</v>
          </cell>
          <cell r="K26">
            <v>0</v>
          </cell>
          <cell r="L26">
            <v>0</v>
          </cell>
          <cell r="M26" t="str">
            <v>CMA</v>
          </cell>
          <cell r="N26">
            <v>0</v>
          </cell>
        </row>
        <row r="27">
          <cell r="A27">
            <v>19</v>
          </cell>
          <cell r="B27" t="str">
            <v>TP746</v>
          </cell>
          <cell r="C27" t="str">
            <v>0616-397C</v>
          </cell>
          <cell r="D27" t="str">
            <v>X SLIDE</v>
          </cell>
          <cell r="E27">
            <v>0</v>
          </cell>
          <cell r="F27">
            <v>0</v>
          </cell>
          <cell r="G27">
            <v>19</v>
          </cell>
          <cell r="H27">
            <v>0</v>
          </cell>
          <cell r="I27">
            <v>3700</v>
          </cell>
          <cell r="J27">
            <v>0</v>
          </cell>
          <cell r="K27">
            <v>0</v>
          </cell>
          <cell r="L27">
            <v>0</v>
          </cell>
          <cell r="M27" t="str">
            <v>CMA</v>
          </cell>
          <cell r="N27">
            <v>0</v>
          </cell>
        </row>
        <row r="28">
          <cell r="A28">
            <v>20</v>
          </cell>
          <cell r="B28" t="str">
            <v>TP620</v>
          </cell>
          <cell r="C28" t="str">
            <v>0616-398-1C</v>
          </cell>
          <cell r="D28" t="str">
            <v>CROSS SLIDE</v>
          </cell>
          <cell r="E28">
            <v>0</v>
          </cell>
          <cell r="F28">
            <v>0</v>
          </cell>
          <cell r="G28">
            <v>43</v>
          </cell>
          <cell r="H28">
            <v>0</v>
          </cell>
          <cell r="I28">
            <v>8325</v>
          </cell>
          <cell r="J28">
            <v>0</v>
          </cell>
          <cell r="K28">
            <v>0</v>
          </cell>
          <cell r="L28">
            <v>0</v>
          </cell>
          <cell r="M28" t="str">
            <v>CMA</v>
          </cell>
          <cell r="N28">
            <v>0</v>
          </cell>
        </row>
        <row r="29">
          <cell r="A29">
            <v>21</v>
          </cell>
          <cell r="B29" t="str">
            <v>TP747</v>
          </cell>
          <cell r="C29" t="str">
            <v>0616-398-1C</v>
          </cell>
          <cell r="D29" t="str">
            <v>CROSS SLIDE</v>
          </cell>
          <cell r="E29">
            <v>0</v>
          </cell>
          <cell r="F29">
            <v>0</v>
          </cell>
          <cell r="G29">
            <v>43</v>
          </cell>
          <cell r="H29">
            <v>0</v>
          </cell>
          <cell r="I29">
            <v>8325</v>
          </cell>
          <cell r="J29">
            <v>0</v>
          </cell>
          <cell r="K29">
            <v>0</v>
          </cell>
          <cell r="L29">
            <v>0</v>
          </cell>
          <cell r="M29" t="str">
            <v>CMA</v>
          </cell>
          <cell r="N29">
            <v>0</v>
          </cell>
        </row>
        <row r="30">
          <cell r="A30">
            <v>22</v>
          </cell>
          <cell r="B30" t="str">
            <v>TP558</v>
          </cell>
          <cell r="C30" t="str">
            <v>0615-510C</v>
          </cell>
          <cell r="D30" t="str">
            <v>BACK HEAD STOCK</v>
          </cell>
          <cell r="E30">
            <v>0</v>
          </cell>
          <cell r="F30">
            <v>0</v>
          </cell>
          <cell r="G30">
            <v>37</v>
          </cell>
          <cell r="H30">
            <v>0</v>
          </cell>
          <cell r="I30">
            <v>7030</v>
          </cell>
          <cell r="J30">
            <v>0</v>
          </cell>
          <cell r="K30">
            <v>0</v>
          </cell>
          <cell r="L30">
            <v>0</v>
          </cell>
          <cell r="M30" t="str">
            <v>CMA</v>
          </cell>
          <cell r="N30">
            <v>0</v>
          </cell>
        </row>
        <row r="31">
          <cell r="A31">
            <v>23</v>
          </cell>
          <cell r="B31" t="str">
            <v>TP557</v>
          </cell>
          <cell r="C31" t="str">
            <v>0615-509C</v>
          </cell>
          <cell r="D31" t="str">
            <v>HEAD STOCK</v>
          </cell>
          <cell r="E31">
            <v>0</v>
          </cell>
          <cell r="F31">
            <v>0</v>
          </cell>
          <cell r="G31">
            <v>42</v>
          </cell>
          <cell r="H31">
            <v>0</v>
          </cell>
          <cell r="I31">
            <v>7980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24</v>
          </cell>
          <cell r="B32" t="str">
            <v>TP484</v>
          </cell>
          <cell r="C32" t="str">
            <v>0615-507</v>
          </cell>
          <cell r="D32" t="str">
            <v>HEAD STOCK L220E</v>
          </cell>
          <cell r="E32" t="str">
            <v>Bàn gá dao máy tiện L220E</v>
          </cell>
          <cell r="F32">
            <v>0</v>
          </cell>
          <cell r="G32">
            <v>35</v>
          </cell>
          <cell r="H32">
            <v>0</v>
          </cell>
          <cell r="I32">
            <v>7350</v>
          </cell>
          <cell r="J32">
            <v>0</v>
          </cell>
          <cell r="K32">
            <v>0</v>
          </cell>
          <cell r="L32">
            <v>0</v>
          </cell>
          <cell r="M32" t="str">
            <v>CMJ</v>
          </cell>
          <cell r="N32">
            <v>0</v>
          </cell>
        </row>
        <row r="33">
          <cell r="A33">
            <v>25</v>
          </cell>
          <cell r="B33" t="str">
            <v>SPCNC195</v>
          </cell>
          <cell r="C33" t="str">
            <v>618-069-12</v>
          </cell>
          <cell r="D33" t="str">
            <v>BED FOR A220</v>
          </cell>
          <cell r="E33" t="str">
            <v>Đế máy tiện A220</v>
          </cell>
          <cell r="F33">
            <v>0</v>
          </cell>
          <cell r="G33">
            <v>1390</v>
          </cell>
          <cell r="H33" t="str">
            <v xml:space="preserve"> -   </v>
          </cell>
          <cell r="I33">
            <v>329140</v>
          </cell>
          <cell r="J33">
            <v>0</v>
          </cell>
          <cell r="K33">
            <v>0</v>
          </cell>
          <cell r="L33" t="str">
            <v xml:space="preserve"> -   </v>
          </cell>
          <cell r="M33" t="str">
            <v>CMA</v>
          </cell>
          <cell r="N33" t="str">
            <v>CHUYEN SANG SPCNC203</v>
          </cell>
        </row>
        <row r="34">
          <cell r="A34">
            <v>26</v>
          </cell>
          <cell r="B34" t="str">
            <v>SPCNC211</v>
          </cell>
          <cell r="C34" t="str">
            <v>618-076-10</v>
          </cell>
          <cell r="D34" t="str">
            <v>BED FOR K1216E</v>
          </cell>
          <cell r="E34" t="str">
            <v>Đế máy tiện K1216E</v>
          </cell>
          <cell r="F34">
            <v>0</v>
          </cell>
          <cell r="G34">
            <v>1000</v>
          </cell>
          <cell r="H34" t="str">
            <v xml:space="preserve"> -   </v>
          </cell>
          <cell r="I34">
            <v>238500</v>
          </cell>
          <cell r="J34">
            <v>0</v>
          </cell>
          <cell r="K34">
            <v>0</v>
          </cell>
          <cell r="L34" t="str">
            <v xml:space="preserve"> -   </v>
          </cell>
          <cell r="M34" t="str">
            <v>CMA</v>
          </cell>
          <cell r="N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 t="str">
            <v>DANH SÁCH MÃ SẢN PHẨM ĐANG SỬ DỤNG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1</v>
          </cell>
          <cell r="B39" t="str">
            <v>SPCNC138</v>
          </cell>
          <cell r="C39" t="str">
            <v>KEI 050-001-1</v>
          </cell>
          <cell r="D39" t="str">
            <v>JIG</v>
          </cell>
          <cell r="E39" t="str">
            <v>Đồ gá sản phẩm</v>
          </cell>
          <cell r="F39">
            <v>0</v>
          </cell>
          <cell r="G39">
            <v>183</v>
          </cell>
          <cell r="H39">
            <v>5</v>
          </cell>
          <cell r="I39">
            <v>80000</v>
          </cell>
          <cell r="J39">
            <v>0</v>
          </cell>
          <cell r="K39">
            <v>0</v>
          </cell>
          <cell r="L39" t="str">
            <v>JPY</v>
          </cell>
          <cell r="M39" t="str">
            <v>CMA</v>
          </cell>
          <cell r="N39">
            <v>0</v>
          </cell>
        </row>
        <row r="40">
          <cell r="A40">
            <v>2</v>
          </cell>
          <cell r="B40" t="str">
            <v>SPCNC139</v>
          </cell>
          <cell r="C40" t="str">
            <v>KE001-004</v>
          </cell>
          <cell r="D40" t="str">
            <v>JIG</v>
          </cell>
          <cell r="E40" t="str">
            <v>Đồ gá sản phẩm</v>
          </cell>
          <cell r="F40">
            <v>0</v>
          </cell>
          <cell r="G40">
            <v>550</v>
          </cell>
          <cell r="H40">
            <v>10</v>
          </cell>
          <cell r="I40">
            <v>176692</v>
          </cell>
          <cell r="J40">
            <v>0</v>
          </cell>
          <cell r="K40">
            <v>0</v>
          </cell>
          <cell r="L40" t="str">
            <v>JPY</v>
          </cell>
          <cell r="M40" t="str">
            <v>CMA</v>
          </cell>
          <cell r="N40">
            <v>0</v>
          </cell>
        </row>
        <row r="41">
          <cell r="A41">
            <v>3</v>
          </cell>
          <cell r="B41" t="str">
            <v>SPCNC140</v>
          </cell>
          <cell r="C41" t="str">
            <v>KE004-001</v>
          </cell>
          <cell r="D41" t="str">
            <v>JIG BLOG 260</v>
          </cell>
          <cell r="E41" t="str">
            <v>Đồ gá sản phẩm</v>
          </cell>
          <cell r="F41">
            <v>0</v>
          </cell>
          <cell r="G41">
            <v>88</v>
          </cell>
          <cell r="H41">
            <v>5</v>
          </cell>
          <cell r="I41">
            <v>54955</v>
          </cell>
          <cell r="J41">
            <v>0</v>
          </cell>
          <cell r="K41">
            <v>0</v>
          </cell>
          <cell r="L41" t="str">
            <v>JPY</v>
          </cell>
          <cell r="M41" t="str">
            <v>CMA</v>
          </cell>
          <cell r="N41">
            <v>0</v>
          </cell>
        </row>
        <row r="42">
          <cell r="A42">
            <v>4</v>
          </cell>
          <cell r="B42" t="str">
            <v>SPCNC142</v>
          </cell>
          <cell r="C42" t="str">
            <v>615-366-9A</v>
          </cell>
          <cell r="D42" t="str">
            <v>X SLIDE FOR A32</v>
          </cell>
          <cell r="E42" t="str">
            <v>Bàn trượt X cho máy tiện A32</v>
          </cell>
          <cell r="F42">
            <v>0</v>
          </cell>
          <cell r="G42">
            <v>20</v>
          </cell>
          <cell r="H42">
            <v>2.5</v>
          </cell>
          <cell r="I42">
            <v>14100</v>
          </cell>
          <cell r="J42">
            <v>0</v>
          </cell>
          <cell r="K42">
            <v>0</v>
          </cell>
          <cell r="L42" t="str">
            <v>JPY</v>
          </cell>
          <cell r="M42" t="str">
            <v>CMA</v>
          </cell>
          <cell r="N42">
            <v>0</v>
          </cell>
        </row>
        <row r="43">
          <cell r="A43">
            <v>5</v>
          </cell>
          <cell r="B43" t="str">
            <v>SPCNC221</v>
          </cell>
          <cell r="C43" t="str">
            <v>615-366-9A</v>
          </cell>
          <cell r="D43" t="str">
            <v>X SLIDE FOR A32</v>
          </cell>
          <cell r="E43" t="str">
            <v>Bàn trượt X cho máy tiện A32</v>
          </cell>
          <cell r="F43">
            <v>0</v>
          </cell>
          <cell r="G43">
            <v>20</v>
          </cell>
          <cell r="H43">
            <v>2.5</v>
          </cell>
          <cell r="I43">
            <v>14100</v>
          </cell>
          <cell r="J43">
            <v>0</v>
          </cell>
          <cell r="K43">
            <v>0</v>
          </cell>
          <cell r="L43" t="str">
            <v>JPY</v>
          </cell>
          <cell r="M43" t="str">
            <v>CMA</v>
          </cell>
          <cell r="N43">
            <v>0</v>
          </cell>
        </row>
        <row r="44">
          <cell r="A44">
            <v>6</v>
          </cell>
          <cell r="B44" t="str">
            <v>SPCNC143</v>
          </cell>
          <cell r="C44" t="str">
            <v>616-345-2A</v>
          </cell>
          <cell r="D44" t="str">
            <v>CROSS SLIDE FOR L20E</v>
          </cell>
          <cell r="E44" t="str">
            <v>Bàn trượt ngang cho máy tiện L20E</v>
          </cell>
          <cell r="F44">
            <v>0</v>
          </cell>
          <cell r="G44">
            <v>34</v>
          </cell>
          <cell r="H44">
            <v>5</v>
          </cell>
          <cell r="I44">
            <v>18591</v>
          </cell>
          <cell r="J44">
            <v>0</v>
          </cell>
          <cell r="K44">
            <v>0</v>
          </cell>
          <cell r="L44" t="str">
            <v>JPY</v>
          </cell>
          <cell r="M44" t="str">
            <v>CMA</v>
          </cell>
          <cell r="N44">
            <v>0</v>
          </cell>
        </row>
        <row r="45">
          <cell r="A45">
            <v>7</v>
          </cell>
          <cell r="B45" t="str">
            <v>SPCNC145</v>
          </cell>
          <cell r="C45" t="str">
            <v>617-081-7A</v>
          </cell>
          <cell r="D45" t="str">
            <v>TOOL POST A220</v>
          </cell>
          <cell r="E45" t="str">
            <v>0-Jan-00</v>
          </cell>
          <cell r="F45">
            <v>0</v>
          </cell>
          <cell r="G45">
            <v>122</v>
          </cell>
          <cell r="H45">
            <v>5.5</v>
          </cell>
          <cell r="I45">
            <v>45622</v>
          </cell>
          <cell r="J45">
            <v>0</v>
          </cell>
          <cell r="K45">
            <v>0</v>
          </cell>
          <cell r="L45" t="str">
            <v>JPY</v>
          </cell>
          <cell r="M45" t="str">
            <v>CMA</v>
          </cell>
          <cell r="N45">
            <v>0</v>
          </cell>
        </row>
        <row r="46">
          <cell r="A46">
            <v>8</v>
          </cell>
          <cell r="B46" t="str">
            <v>SPCNC155</v>
          </cell>
          <cell r="C46" t="str">
            <v>KE002-003</v>
          </cell>
          <cell r="D46" t="str">
            <v>JIG</v>
          </cell>
          <cell r="E46" t="str">
            <v>Đồ gá sản phẩm máy tiện</v>
          </cell>
          <cell r="F46">
            <v>0</v>
          </cell>
          <cell r="G46">
            <v>220</v>
          </cell>
          <cell r="H46">
            <v>7</v>
          </cell>
          <cell r="I46">
            <v>78000</v>
          </cell>
          <cell r="J46">
            <v>0</v>
          </cell>
          <cell r="K46">
            <v>0</v>
          </cell>
          <cell r="L46" t="str">
            <v>JPY</v>
          </cell>
          <cell r="M46" t="str">
            <v>CMA</v>
          </cell>
          <cell r="N46">
            <v>0</v>
          </cell>
        </row>
        <row r="47">
          <cell r="A47">
            <v>9</v>
          </cell>
          <cell r="B47" t="str">
            <v>SPCNC156</v>
          </cell>
          <cell r="C47" t="str">
            <v>615-362-5A</v>
          </cell>
          <cell r="D47" t="str">
            <v>BACK STOCK FOR A220</v>
          </cell>
          <cell r="E47" t="str">
            <v>Bàn trượt đế máy tiện A220</v>
          </cell>
          <cell r="F47">
            <v>0</v>
          </cell>
          <cell r="G47">
            <v>20</v>
          </cell>
          <cell r="H47">
            <v>3.5</v>
          </cell>
          <cell r="I47">
            <v>15000</v>
          </cell>
          <cell r="J47">
            <v>0</v>
          </cell>
          <cell r="K47">
            <v>0</v>
          </cell>
          <cell r="L47" t="str">
            <v>JPY</v>
          </cell>
          <cell r="M47" t="str">
            <v>CMA</v>
          </cell>
          <cell r="N47">
            <v>0</v>
          </cell>
        </row>
        <row r="48">
          <cell r="A48">
            <v>10</v>
          </cell>
          <cell r="B48" t="str">
            <v>SPCNC157</v>
          </cell>
          <cell r="C48" t="str">
            <v>613-231-1A</v>
          </cell>
          <cell r="D48" t="str">
            <v>X SLIDE FOR A220</v>
          </cell>
          <cell r="E48" t="str">
            <v>Bàn trượt X cho máy tiện A220</v>
          </cell>
          <cell r="F48">
            <v>0</v>
          </cell>
          <cell r="G48">
            <v>23</v>
          </cell>
          <cell r="H48">
            <v>4</v>
          </cell>
          <cell r="I48">
            <v>21550</v>
          </cell>
          <cell r="J48">
            <v>0</v>
          </cell>
          <cell r="K48">
            <v>0</v>
          </cell>
          <cell r="L48" t="str">
            <v>JPY</v>
          </cell>
          <cell r="M48" t="str">
            <v>CMA</v>
          </cell>
          <cell r="N48">
            <v>0</v>
          </cell>
        </row>
        <row r="49">
          <cell r="A49">
            <v>11</v>
          </cell>
          <cell r="B49" t="str">
            <v>SPCNC158</v>
          </cell>
          <cell r="C49" t="str">
            <v>616-311-8A</v>
          </cell>
          <cell r="D49" t="str">
            <v>Z2 SLIDE FOR A220</v>
          </cell>
          <cell r="E49" t="str">
            <v>Bàn trượt Z2 cho máy tiện A220</v>
          </cell>
          <cell r="F49">
            <v>0</v>
          </cell>
          <cell r="G49">
            <v>31</v>
          </cell>
          <cell r="H49">
            <v>3.5</v>
          </cell>
          <cell r="I49">
            <v>22522</v>
          </cell>
          <cell r="J49">
            <v>0</v>
          </cell>
          <cell r="K49">
            <v>0</v>
          </cell>
          <cell r="L49" t="str">
            <v>JPY</v>
          </cell>
          <cell r="M49" t="str">
            <v>CMA</v>
          </cell>
          <cell r="N49">
            <v>0</v>
          </cell>
        </row>
        <row r="50">
          <cell r="A50">
            <v>12</v>
          </cell>
          <cell r="B50">
            <v>0</v>
          </cell>
          <cell r="C50" t="str">
            <v>617-088-6A</v>
          </cell>
          <cell r="D50" t="str">
            <v>CROSS SLIDE</v>
          </cell>
          <cell r="E50" t="str">
            <v>Bàn trượt ngang cho máy tiện A220</v>
          </cell>
          <cell r="F50">
            <v>0</v>
          </cell>
          <cell r="G50">
            <v>61</v>
          </cell>
          <cell r="H50">
            <v>0</v>
          </cell>
          <cell r="I50">
            <v>29882</v>
          </cell>
          <cell r="J50">
            <v>0</v>
          </cell>
          <cell r="K50">
            <v>0</v>
          </cell>
          <cell r="L50" t="str">
            <v>JPY</v>
          </cell>
          <cell r="M50" t="str">
            <v>CMA</v>
          </cell>
          <cell r="N50">
            <v>0</v>
          </cell>
        </row>
        <row r="51">
          <cell r="A51">
            <v>13</v>
          </cell>
          <cell r="B51" t="str">
            <v>SPCNC162</v>
          </cell>
          <cell r="C51" t="str">
            <v>618-076-10</v>
          </cell>
          <cell r="D51" t="str">
            <v>BED FOR K1216E</v>
          </cell>
          <cell r="E51" t="str">
            <v>Đế máy tiện K1216E</v>
          </cell>
          <cell r="F51">
            <v>0</v>
          </cell>
          <cell r="G51">
            <v>1000</v>
          </cell>
          <cell r="H51">
            <v>9</v>
          </cell>
          <cell r="I51">
            <v>238500</v>
          </cell>
          <cell r="J51">
            <v>0</v>
          </cell>
          <cell r="K51">
            <v>0</v>
          </cell>
          <cell r="L51" t="str">
            <v>JPY</v>
          </cell>
          <cell r="M51" t="str">
            <v>CMA</v>
          </cell>
          <cell r="N51">
            <v>0</v>
          </cell>
        </row>
        <row r="52">
          <cell r="A52">
            <v>14</v>
          </cell>
          <cell r="B52" t="str">
            <v>SPCNC163</v>
          </cell>
          <cell r="C52" t="str">
            <v>615-334-9A</v>
          </cell>
          <cell r="D52" t="str">
            <v>HEAD STOCK FOR A220</v>
          </cell>
          <cell r="E52" t="str">
            <v>Đầu bàn gá máy tiện A220</v>
          </cell>
          <cell r="F52">
            <v>0</v>
          </cell>
          <cell r="G52">
            <v>34</v>
          </cell>
          <cell r="H52">
            <v>4</v>
          </cell>
          <cell r="I52">
            <v>20833</v>
          </cell>
          <cell r="J52">
            <v>0</v>
          </cell>
          <cell r="K52">
            <v>0</v>
          </cell>
          <cell r="L52" t="str">
            <v>JPY</v>
          </cell>
          <cell r="M52" t="str">
            <v>CMA</v>
          </cell>
          <cell r="N52">
            <v>0</v>
          </cell>
        </row>
        <row r="53">
          <cell r="A53">
            <v>15</v>
          </cell>
          <cell r="B53" t="str">
            <v>SPCNC164</v>
          </cell>
          <cell r="C53" t="str">
            <v>616-302-6A</v>
          </cell>
          <cell r="D53" t="str">
            <v>CROSS SLIDE FOR A220</v>
          </cell>
          <cell r="E53" t="str">
            <v>Bàn trượt ngang cho máy tiện A220</v>
          </cell>
          <cell r="F53">
            <v>0</v>
          </cell>
          <cell r="G53">
            <v>35</v>
          </cell>
          <cell r="H53">
            <v>4</v>
          </cell>
          <cell r="I53">
            <v>25994</v>
          </cell>
          <cell r="J53">
            <v>0</v>
          </cell>
          <cell r="K53">
            <v>0</v>
          </cell>
          <cell r="L53" t="str">
            <v>JPY</v>
          </cell>
          <cell r="M53" t="str">
            <v>CMA</v>
          </cell>
          <cell r="N53">
            <v>0</v>
          </cell>
        </row>
        <row r="54">
          <cell r="A54">
            <v>16</v>
          </cell>
          <cell r="B54" t="str">
            <v>SPCNC189</v>
          </cell>
          <cell r="C54" t="str">
            <v>618-075-8A</v>
          </cell>
          <cell r="D54" t="str">
            <v>BED FOR L20E</v>
          </cell>
          <cell r="E54" t="str">
            <v>Đế máy tiện L20E</v>
          </cell>
          <cell r="F54">
            <v>0</v>
          </cell>
          <cell r="G54">
            <v>1100</v>
          </cell>
          <cell r="H54">
            <v>7</v>
          </cell>
          <cell r="I54">
            <v>235300</v>
          </cell>
          <cell r="J54">
            <v>0</v>
          </cell>
          <cell r="K54">
            <v>0</v>
          </cell>
          <cell r="L54" t="str">
            <v>JPY</v>
          </cell>
          <cell r="M54" t="str">
            <v>CMA</v>
          </cell>
          <cell r="N54">
            <v>0</v>
          </cell>
        </row>
        <row r="55">
          <cell r="A55">
            <v>17</v>
          </cell>
          <cell r="B55" t="str">
            <v>SPCNC169</v>
          </cell>
          <cell r="C55" t="str">
            <v>616-343-3A</v>
          </cell>
          <cell r="D55" t="str">
            <v>BACK CROSS SLIDE FOR L20E</v>
          </cell>
          <cell r="E55" t="str">
            <v>Bàn trượt máy tiện L20E</v>
          </cell>
          <cell r="F55">
            <v>0</v>
          </cell>
          <cell r="G55">
            <v>47</v>
          </cell>
          <cell r="H55">
            <v>5</v>
          </cell>
          <cell r="I55">
            <v>21153</v>
          </cell>
          <cell r="J55">
            <v>0</v>
          </cell>
          <cell r="K55">
            <v>0</v>
          </cell>
          <cell r="L55" t="str">
            <v>JPY</v>
          </cell>
          <cell r="M55" t="str">
            <v>CMA</v>
          </cell>
          <cell r="N55">
            <v>0</v>
          </cell>
        </row>
        <row r="56">
          <cell r="A56">
            <v>18</v>
          </cell>
          <cell r="B56" t="str">
            <v>SPCNC175</v>
          </cell>
          <cell r="C56" t="str">
            <v>615-452-1A</v>
          </cell>
          <cell r="D56" t="str">
            <v>BACK SPINDLE HEAD STOCK</v>
          </cell>
          <cell r="E56" t="str">
            <v>Trục máy tiện A232</v>
          </cell>
          <cell r="F56">
            <v>0</v>
          </cell>
          <cell r="G56">
            <v>27</v>
          </cell>
          <cell r="H56">
            <v>3.5</v>
          </cell>
          <cell r="I56">
            <v>14880</v>
          </cell>
          <cell r="J56">
            <v>0</v>
          </cell>
          <cell r="K56">
            <v>0</v>
          </cell>
          <cell r="L56" t="str">
            <v>JPY</v>
          </cell>
          <cell r="M56" t="str">
            <v>CMA</v>
          </cell>
          <cell r="N56">
            <v>0</v>
          </cell>
        </row>
        <row r="57">
          <cell r="A57">
            <v>19</v>
          </cell>
          <cell r="B57" t="str">
            <v>SPCNC176</v>
          </cell>
          <cell r="C57" t="str">
            <v>616-376-2A</v>
          </cell>
          <cell r="D57" t="str">
            <v>HEAD STOCK FOR A232</v>
          </cell>
          <cell r="E57" t="str">
            <v>Đầu bàn gá máy tiện A232</v>
          </cell>
          <cell r="F57">
            <v>0</v>
          </cell>
          <cell r="G57">
            <v>75.5</v>
          </cell>
          <cell r="H57">
            <v>6</v>
          </cell>
          <cell r="I57">
            <v>33467</v>
          </cell>
          <cell r="J57">
            <v>0</v>
          </cell>
          <cell r="K57">
            <v>0</v>
          </cell>
          <cell r="L57" t="str">
            <v>JPY</v>
          </cell>
          <cell r="M57" t="str">
            <v>CMA</v>
          </cell>
          <cell r="N57">
            <v>0</v>
          </cell>
        </row>
        <row r="58">
          <cell r="A58">
            <v>20</v>
          </cell>
          <cell r="B58" t="str">
            <v>SPCNC203</v>
          </cell>
          <cell r="C58" t="str">
            <v>618-069-12</v>
          </cell>
          <cell r="D58" t="str">
            <v>BED FOR A220</v>
          </cell>
          <cell r="E58" t="str">
            <v>Đế máy tiện A220</v>
          </cell>
          <cell r="F58">
            <v>0</v>
          </cell>
          <cell r="G58">
            <v>1390</v>
          </cell>
          <cell r="H58">
            <v>11.5</v>
          </cell>
          <cell r="I58">
            <v>329140</v>
          </cell>
          <cell r="J58">
            <v>0</v>
          </cell>
          <cell r="K58">
            <v>0</v>
          </cell>
          <cell r="L58" t="str">
            <v>JPY</v>
          </cell>
          <cell r="M58" t="str">
            <v>CMA</v>
          </cell>
          <cell r="N58">
            <v>0</v>
          </cell>
        </row>
        <row r="59">
          <cell r="A59">
            <v>21</v>
          </cell>
          <cell r="B59" t="str">
            <v>SPCNC187</v>
          </cell>
          <cell r="C59" t="str">
            <v>618-069-12</v>
          </cell>
          <cell r="D59" t="str">
            <v>BED FOR A220</v>
          </cell>
          <cell r="E59" t="str">
            <v>Đế máy tiện A220</v>
          </cell>
          <cell r="F59">
            <v>0</v>
          </cell>
          <cell r="G59">
            <v>1350</v>
          </cell>
          <cell r="H59">
            <v>11.5</v>
          </cell>
          <cell r="I59">
            <v>329140</v>
          </cell>
          <cell r="J59">
            <v>0</v>
          </cell>
          <cell r="K59">
            <v>0</v>
          </cell>
          <cell r="L59" t="str">
            <v>JPY</v>
          </cell>
          <cell r="M59" t="str">
            <v>CMA</v>
          </cell>
          <cell r="N59">
            <v>0</v>
          </cell>
        </row>
        <row r="60">
          <cell r="A60">
            <v>22</v>
          </cell>
          <cell r="B60" t="str">
            <v>SPCNC188</v>
          </cell>
          <cell r="C60" t="str">
            <v>618-073-10</v>
          </cell>
          <cell r="D60" t="str">
            <v>BED FOR A232</v>
          </cell>
          <cell r="E60" t="str">
            <v>Đế máy tiện A232</v>
          </cell>
          <cell r="F60">
            <v>0</v>
          </cell>
          <cell r="G60">
            <v>1450</v>
          </cell>
          <cell r="H60">
            <v>12</v>
          </cell>
          <cell r="I60">
            <v>328850</v>
          </cell>
          <cell r="J60">
            <v>0</v>
          </cell>
          <cell r="K60">
            <v>0</v>
          </cell>
          <cell r="L60" t="str">
            <v>JPY</v>
          </cell>
          <cell r="M60" t="str">
            <v>CMA</v>
          </cell>
          <cell r="N60">
            <v>0</v>
          </cell>
        </row>
        <row r="61">
          <cell r="A61">
            <v>23</v>
          </cell>
          <cell r="B61" t="str">
            <v>SPCNC204</v>
          </cell>
          <cell r="C61" t="str">
            <v>618-073-10</v>
          </cell>
          <cell r="D61" t="str">
            <v>BED FOR A232</v>
          </cell>
          <cell r="E61" t="str">
            <v>Đế máy tiện A232</v>
          </cell>
          <cell r="F61">
            <v>0</v>
          </cell>
          <cell r="G61">
            <v>1450</v>
          </cell>
          <cell r="H61">
            <v>12</v>
          </cell>
          <cell r="I61">
            <v>328850</v>
          </cell>
          <cell r="J61">
            <v>0</v>
          </cell>
          <cell r="K61">
            <v>0</v>
          </cell>
          <cell r="L61" t="str">
            <v>JPY</v>
          </cell>
          <cell r="M61" t="str">
            <v>CMA</v>
          </cell>
          <cell r="N61">
            <v>0</v>
          </cell>
        </row>
        <row r="62">
          <cell r="A62">
            <v>24</v>
          </cell>
          <cell r="B62" t="str">
            <v>tp</v>
          </cell>
          <cell r="C62" t="str">
            <v>0613-183</v>
          </cell>
          <cell r="D62" t="str">
            <v>MOTOR BRAKET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7355</v>
          </cell>
          <cell r="J62">
            <v>0</v>
          </cell>
          <cell r="K62">
            <v>0</v>
          </cell>
          <cell r="L62" t="str">
            <v>JPY</v>
          </cell>
          <cell r="M62" t="str">
            <v>CMA</v>
          </cell>
          <cell r="N62">
            <v>0</v>
          </cell>
        </row>
        <row r="63">
          <cell r="A63">
            <v>25</v>
          </cell>
          <cell r="B63" t="str">
            <v>TP352</v>
          </cell>
          <cell r="C63" t="str">
            <v>0615-471C</v>
          </cell>
          <cell r="D63" t="str">
            <v>HEAD STOCK B1216E</v>
          </cell>
          <cell r="E63" t="str">
            <v>Đầu bàn gá máy tiện B1216E</v>
          </cell>
          <cell r="F63">
            <v>0</v>
          </cell>
          <cell r="G63">
            <v>35.5</v>
          </cell>
          <cell r="H63">
            <v>0</v>
          </cell>
          <cell r="I63">
            <v>6745</v>
          </cell>
          <cell r="J63">
            <v>0</v>
          </cell>
          <cell r="K63">
            <v>0</v>
          </cell>
          <cell r="L63" t="str">
            <v>JPY</v>
          </cell>
          <cell r="M63" t="str">
            <v>CMA</v>
          </cell>
          <cell r="N63">
            <v>0</v>
          </cell>
        </row>
        <row r="64">
          <cell r="A64">
            <v>26</v>
          </cell>
          <cell r="B64" t="str">
            <v>TP354</v>
          </cell>
          <cell r="C64" t="str">
            <v>0616-157 C</v>
          </cell>
          <cell r="D64" t="str">
            <v>X-SLIDE B1216E</v>
          </cell>
          <cell r="E64" t="str">
            <v>Bàn trượt X cho máy tiện B1216E</v>
          </cell>
          <cell r="F64">
            <v>0</v>
          </cell>
          <cell r="G64">
            <v>11.5</v>
          </cell>
          <cell r="H64">
            <v>0</v>
          </cell>
          <cell r="I64">
            <v>2243</v>
          </cell>
          <cell r="J64">
            <v>0</v>
          </cell>
          <cell r="K64">
            <v>0</v>
          </cell>
          <cell r="L64" t="str">
            <v>JPY</v>
          </cell>
          <cell r="M64" t="str">
            <v>CMA</v>
          </cell>
          <cell r="N64">
            <v>0</v>
          </cell>
        </row>
        <row r="65">
          <cell r="A65">
            <v>27</v>
          </cell>
          <cell r="B65" t="str">
            <v>TP355</v>
          </cell>
          <cell r="C65" t="str">
            <v>0616-240C</v>
          </cell>
          <cell r="D65" t="str">
            <v>CROSS SLIDE B1216E</v>
          </cell>
          <cell r="E65" t="str">
            <v>Bàn trượt ngang cho máy tiện B1216E</v>
          </cell>
          <cell r="F65">
            <v>0</v>
          </cell>
          <cell r="G65">
            <v>31</v>
          </cell>
          <cell r="H65">
            <v>0</v>
          </cell>
          <cell r="I65">
            <v>5890</v>
          </cell>
          <cell r="J65">
            <v>0</v>
          </cell>
          <cell r="K65">
            <v>0</v>
          </cell>
          <cell r="L65" t="str">
            <v>JPY</v>
          </cell>
          <cell r="M65" t="str">
            <v>CMA</v>
          </cell>
          <cell r="N65">
            <v>0</v>
          </cell>
        </row>
        <row r="66">
          <cell r="A66">
            <v>28</v>
          </cell>
          <cell r="B66" t="str">
            <v>TP356</v>
          </cell>
          <cell r="C66" t="str">
            <v>0616-370-1C</v>
          </cell>
          <cell r="D66" t="str">
            <v>BRACKET B1216E</v>
          </cell>
          <cell r="E66" t="str">
            <v>Gá đỡ máy tiện B1216E</v>
          </cell>
          <cell r="F66">
            <v>0</v>
          </cell>
          <cell r="G66">
            <v>33.5</v>
          </cell>
          <cell r="H66">
            <v>0</v>
          </cell>
          <cell r="I66">
            <v>6441</v>
          </cell>
          <cell r="J66">
            <v>0</v>
          </cell>
          <cell r="K66">
            <v>0</v>
          </cell>
          <cell r="L66" t="str">
            <v>JPY</v>
          </cell>
          <cell r="M66" t="str">
            <v>CMA</v>
          </cell>
          <cell r="N66">
            <v>0</v>
          </cell>
        </row>
        <row r="67">
          <cell r="A67">
            <v>29</v>
          </cell>
          <cell r="B67" t="str">
            <v>TP357</v>
          </cell>
          <cell r="C67" t="str">
            <v>0615-200C</v>
          </cell>
          <cell r="D67" t="str">
            <v>SLIDE BASE B1216E</v>
          </cell>
          <cell r="E67" t="str">
            <v>Bệ đỡ bàn trượt máy tiện B1216E</v>
          </cell>
          <cell r="F67">
            <v>0</v>
          </cell>
          <cell r="G67">
            <v>10.5</v>
          </cell>
          <cell r="H67">
            <v>0</v>
          </cell>
          <cell r="I67">
            <v>1950</v>
          </cell>
          <cell r="J67">
            <v>0</v>
          </cell>
          <cell r="K67">
            <v>0</v>
          </cell>
          <cell r="L67" t="str">
            <v>JPY</v>
          </cell>
          <cell r="M67" t="str">
            <v>CMA</v>
          </cell>
          <cell r="N67">
            <v>0</v>
          </cell>
        </row>
        <row r="68">
          <cell r="A68">
            <v>30</v>
          </cell>
          <cell r="B68" t="str">
            <v>TP363</v>
          </cell>
          <cell r="C68" t="str">
            <v>615-313C</v>
          </cell>
          <cell r="D68" t="str">
            <v>Z SLIDE</v>
          </cell>
          <cell r="E68" t="str">
            <v>Bàn trượt Z</v>
          </cell>
          <cell r="F68">
            <v>0</v>
          </cell>
          <cell r="G68">
            <v>24</v>
          </cell>
          <cell r="H68">
            <v>0</v>
          </cell>
          <cell r="I68">
            <v>4440</v>
          </cell>
          <cell r="J68">
            <v>0</v>
          </cell>
          <cell r="K68">
            <v>0</v>
          </cell>
          <cell r="L68" t="str">
            <v>JPY</v>
          </cell>
          <cell r="M68" t="str">
            <v>CMA</v>
          </cell>
          <cell r="N68">
            <v>0</v>
          </cell>
        </row>
        <row r="69">
          <cell r="A69">
            <v>31</v>
          </cell>
          <cell r="B69" t="str">
            <v>TP372</v>
          </cell>
          <cell r="C69" t="str">
            <v>0615-452-1</v>
          </cell>
          <cell r="D69" t="str">
            <v>BACK SPINDLE HEAD STOCK</v>
          </cell>
          <cell r="E69" t="str">
            <v>Trục máy tiện A232</v>
          </cell>
          <cell r="F69">
            <v>0</v>
          </cell>
          <cell r="G69">
            <v>27</v>
          </cell>
          <cell r="H69">
            <v>0</v>
          </cell>
          <cell r="I69">
            <v>5130</v>
          </cell>
          <cell r="J69">
            <v>0</v>
          </cell>
          <cell r="K69">
            <v>0</v>
          </cell>
          <cell r="L69" t="str">
            <v>JPY</v>
          </cell>
          <cell r="M69" t="str">
            <v>CMA</v>
          </cell>
          <cell r="N69">
            <v>0</v>
          </cell>
        </row>
        <row r="70">
          <cell r="A70">
            <v>32</v>
          </cell>
          <cell r="B70" t="str">
            <v>TP376</v>
          </cell>
          <cell r="C70" t="str">
            <v>616-345-1C</v>
          </cell>
          <cell r="D70" t="str">
            <v>CROSS SLIDE L20E</v>
          </cell>
          <cell r="E70" t="str">
            <v>Bàn trượt ngang máy tiện L20E</v>
          </cell>
          <cell r="F70">
            <v>0</v>
          </cell>
          <cell r="G70">
            <v>34</v>
          </cell>
          <cell r="H70">
            <v>0</v>
          </cell>
          <cell r="I70">
            <v>4941</v>
          </cell>
          <cell r="J70">
            <v>0</v>
          </cell>
          <cell r="K70">
            <v>0</v>
          </cell>
          <cell r="L70" t="str">
            <v>JPY</v>
          </cell>
          <cell r="M70" t="str">
            <v>CMA</v>
          </cell>
          <cell r="N70">
            <v>0</v>
          </cell>
        </row>
        <row r="71">
          <cell r="A71">
            <v>33</v>
          </cell>
          <cell r="B71" t="str">
            <v>TP379</v>
          </cell>
          <cell r="C71" t="str">
            <v>616-272-2C</v>
          </cell>
          <cell r="D71" t="str">
            <v>X SLIDE FOR A220</v>
          </cell>
          <cell r="E71" t="str">
            <v>Bàn trượt Y cho máy tiện A220</v>
          </cell>
          <cell r="F71">
            <v>0</v>
          </cell>
          <cell r="G71">
            <v>23</v>
          </cell>
          <cell r="H71">
            <v>0</v>
          </cell>
          <cell r="I71">
            <v>4050</v>
          </cell>
          <cell r="J71">
            <v>0</v>
          </cell>
          <cell r="K71">
            <v>0</v>
          </cell>
          <cell r="L71" t="str">
            <v>JPY</v>
          </cell>
          <cell r="M71" t="str">
            <v>CMA</v>
          </cell>
          <cell r="N71">
            <v>0</v>
          </cell>
        </row>
        <row r="72">
          <cell r="A72">
            <v>34</v>
          </cell>
          <cell r="B72" t="str">
            <v>TP643</v>
          </cell>
          <cell r="C72" t="str">
            <v>616-272-2C</v>
          </cell>
          <cell r="D72" t="str">
            <v>X SLIDE FOR A220</v>
          </cell>
          <cell r="E72" t="str">
            <v>Bàn trượt Y cho máy tiện A220</v>
          </cell>
          <cell r="F72">
            <v>0</v>
          </cell>
          <cell r="G72">
            <v>23</v>
          </cell>
          <cell r="H72">
            <v>0</v>
          </cell>
          <cell r="I72">
            <v>4050</v>
          </cell>
          <cell r="J72">
            <v>0</v>
          </cell>
          <cell r="K72">
            <v>0</v>
          </cell>
          <cell r="L72" t="str">
            <v>JPY</v>
          </cell>
          <cell r="M72" t="str">
            <v>CMA</v>
          </cell>
          <cell r="N72">
            <v>0</v>
          </cell>
        </row>
        <row r="73">
          <cell r="A73">
            <v>35</v>
          </cell>
          <cell r="B73">
            <v>0</v>
          </cell>
          <cell r="C73" t="str">
            <v>617-085C</v>
          </cell>
          <cell r="D73" t="str">
            <v>Y SLIDE FOR A32</v>
          </cell>
          <cell r="E73" t="str">
            <v>Bàn trượt Y cho máy tiện A32</v>
          </cell>
          <cell r="F73">
            <v>0</v>
          </cell>
          <cell r="G73">
            <v>72</v>
          </cell>
          <cell r="H73">
            <v>0</v>
          </cell>
          <cell r="I73">
            <v>12240</v>
          </cell>
          <cell r="J73">
            <v>0</v>
          </cell>
          <cell r="K73">
            <v>0</v>
          </cell>
          <cell r="L73" t="str">
            <v>JPY</v>
          </cell>
          <cell r="M73" t="str">
            <v>CMA</v>
          </cell>
          <cell r="N73">
            <v>0</v>
          </cell>
        </row>
        <row r="74">
          <cell r="A74">
            <v>36</v>
          </cell>
          <cell r="B74" t="str">
            <v>TP382</v>
          </cell>
          <cell r="C74" t="str">
            <v>0615-048C</v>
          </cell>
          <cell r="D74" t="str">
            <v>HEAD STOCK BRACKET</v>
          </cell>
          <cell r="E74" t="str">
            <v>Đầu bàn gá máy tiện</v>
          </cell>
          <cell r="F74">
            <v>0</v>
          </cell>
          <cell r="G74">
            <v>9.5</v>
          </cell>
          <cell r="H74">
            <v>0</v>
          </cell>
          <cell r="I74">
            <v>1853</v>
          </cell>
          <cell r="J74">
            <v>0</v>
          </cell>
          <cell r="K74">
            <v>0</v>
          </cell>
          <cell r="L74" t="str">
            <v>JPY</v>
          </cell>
          <cell r="M74" t="str">
            <v>CMA</v>
          </cell>
          <cell r="N74">
            <v>0</v>
          </cell>
        </row>
        <row r="75">
          <cell r="A75">
            <v>37</v>
          </cell>
          <cell r="B75" t="str">
            <v>TP383</v>
          </cell>
          <cell r="C75" t="str">
            <v>0615-209-1C</v>
          </cell>
          <cell r="D75" t="str">
            <v>HEAD STOCK BRACKET</v>
          </cell>
          <cell r="E75" t="str">
            <v>Đầu bàn gá máy tiện</v>
          </cell>
          <cell r="F75">
            <v>0</v>
          </cell>
          <cell r="G75">
            <v>8.5</v>
          </cell>
          <cell r="H75">
            <v>0</v>
          </cell>
          <cell r="I75">
            <v>1658</v>
          </cell>
          <cell r="J75">
            <v>0</v>
          </cell>
          <cell r="K75">
            <v>0</v>
          </cell>
          <cell r="L75" t="str">
            <v>JPY</v>
          </cell>
          <cell r="M75" t="str">
            <v>CMA</v>
          </cell>
          <cell r="N75">
            <v>0</v>
          </cell>
        </row>
        <row r="76">
          <cell r="A76">
            <v>38</v>
          </cell>
          <cell r="B76" t="str">
            <v>TP388</v>
          </cell>
          <cell r="C76" t="str">
            <v>615-408C</v>
          </cell>
          <cell r="D76" t="str">
            <v>BACK HEAD STOCK L20</v>
          </cell>
          <cell r="E76" t="str">
            <v>Bàn trượt đế máy tiện L20</v>
          </cell>
          <cell r="F76">
            <v>0</v>
          </cell>
          <cell r="G76">
            <v>9.5</v>
          </cell>
          <cell r="H76">
            <v>0</v>
          </cell>
          <cell r="I76">
            <v>1853</v>
          </cell>
          <cell r="J76">
            <v>0</v>
          </cell>
          <cell r="K76">
            <v>0</v>
          </cell>
          <cell r="L76" t="str">
            <v>JPY</v>
          </cell>
          <cell r="M76" t="str">
            <v>CMA</v>
          </cell>
          <cell r="N76">
            <v>0</v>
          </cell>
        </row>
        <row r="77">
          <cell r="A77">
            <v>39</v>
          </cell>
          <cell r="B77" t="str">
            <v>TP398</v>
          </cell>
          <cell r="C77" t="str">
            <v>616-311-3C</v>
          </cell>
          <cell r="D77" t="str">
            <v>Z2 SLIDE FOR A220</v>
          </cell>
          <cell r="E77" t="str">
            <v>Bàn trượt Z2 cho máy tiện A220</v>
          </cell>
          <cell r="F77">
            <v>0</v>
          </cell>
          <cell r="G77">
            <v>31</v>
          </cell>
          <cell r="H77">
            <v>0</v>
          </cell>
          <cell r="I77">
            <v>5022</v>
          </cell>
          <cell r="J77">
            <v>0</v>
          </cell>
          <cell r="K77">
            <v>0</v>
          </cell>
          <cell r="L77" t="str">
            <v>JPY</v>
          </cell>
          <cell r="M77" t="str">
            <v>CMA</v>
          </cell>
          <cell r="N77">
            <v>0</v>
          </cell>
        </row>
        <row r="78">
          <cell r="A78">
            <v>40</v>
          </cell>
          <cell r="B78" t="str">
            <v>TP642</v>
          </cell>
          <cell r="C78" t="str">
            <v>616-311-3C</v>
          </cell>
          <cell r="D78" t="str">
            <v>Z2 SLIDE FOR A220</v>
          </cell>
          <cell r="E78" t="str">
            <v>Bàn trượt Z2 cho máy tiện A220</v>
          </cell>
          <cell r="F78">
            <v>0</v>
          </cell>
          <cell r="G78">
            <v>31</v>
          </cell>
          <cell r="H78">
            <v>0</v>
          </cell>
          <cell r="I78">
            <v>5022</v>
          </cell>
          <cell r="J78">
            <v>0</v>
          </cell>
          <cell r="K78">
            <v>0</v>
          </cell>
          <cell r="L78" t="str">
            <v>JPY</v>
          </cell>
          <cell r="M78" t="str">
            <v>CMA</v>
          </cell>
          <cell r="N78">
            <v>0</v>
          </cell>
        </row>
        <row r="79">
          <cell r="A79">
            <v>41</v>
          </cell>
          <cell r="B79" t="str">
            <v>TP399</v>
          </cell>
          <cell r="C79" t="str">
            <v>615-336-2C</v>
          </cell>
          <cell r="D79" t="str">
            <v>MOTOR HOUSING FOR A220</v>
          </cell>
          <cell r="E79" t="str">
            <v>Chân đế robot</v>
          </cell>
          <cell r="F79">
            <v>0</v>
          </cell>
          <cell r="G79">
            <v>25</v>
          </cell>
          <cell r="H79">
            <v>0</v>
          </cell>
          <cell r="I79">
            <v>4750</v>
          </cell>
          <cell r="J79">
            <v>0</v>
          </cell>
          <cell r="K79">
            <v>0</v>
          </cell>
          <cell r="L79" t="str">
            <v>JPY</v>
          </cell>
          <cell r="M79" t="str">
            <v>CMA</v>
          </cell>
          <cell r="N79">
            <v>0</v>
          </cell>
        </row>
        <row r="80">
          <cell r="A80">
            <v>42</v>
          </cell>
          <cell r="B80" t="str">
            <v>TP410</v>
          </cell>
          <cell r="C80" t="str">
            <v>616-388C</v>
          </cell>
          <cell r="D80" t="str">
            <v>HEAD STOCK FOR L12</v>
          </cell>
          <cell r="E80" t="str">
            <v>Đầu bàn gá máy tiện L12</v>
          </cell>
          <cell r="F80">
            <v>0</v>
          </cell>
          <cell r="G80">
            <v>17</v>
          </cell>
          <cell r="H80">
            <v>0</v>
          </cell>
          <cell r="I80">
            <v>3060</v>
          </cell>
          <cell r="J80">
            <v>0</v>
          </cell>
          <cell r="K80">
            <v>0</v>
          </cell>
          <cell r="L80" t="str">
            <v>JPY</v>
          </cell>
          <cell r="M80" t="str">
            <v>CMA</v>
          </cell>
          <cell r="N80">
            <v>0</v>
          </cell>
        </row>
        <row r="81">
          <cell r="A81">
            <v>43</v>
          </cell>
          <cell r="B81" t="str">
            <v>TP411</v>
          </cell>
          <cell r="C81" t="str">
            <v>615-464-1C</v>
          </cell>
          <cell r="D81" t="str">
            <v>X SLIDE FOR L12</v>
          </cell>
          <cell r="E81" t="str">
            <v>Bàn trượt X cho máy tiện L12</v>
          </cell>
          <cell r="F81">
            <v>0</v>
          </cell>
          <cell r="G81">
            <v>18</v>
          </cell>
          <cell r="H81">
            <v>0</v>
          </cell>
          <cell r="I81">
            <v>3060</v>
          </cell>
          <cell r="J81">
            <v>0</v>
          </cell>
          <cell r="K81">
            <v>0</v>
          </cell>
          <cell r="L81" t="str">
            <v>JPY</v>
          </cell>
          <cell r="M81" t="str">
            <v>CMA</v>
          </cell>
          <cell r="N81">
            <v>0</v>
          </cell>
        </row>
        <row r="82">
          <cell r="A82">
            <v>44</v>
          </cell>
          <cell r="B82" t="str">
            <v>TP714</v>
          </cell>
          <cell r="C82" t="str">
            <v>615-464-1C</v>
          </cell>
          <cell r="D82" t="str">
            <v>X SLIDE FOR L12</v>
          </cell>
          <cell r="E82" t="str">
            <v>Bàn trượt X cho máy tiện L12</v>
          </cell>
          <cell r="F82">
            <v>0</v>
          </cell>
          <cell r="G82">
            <v>18</v>
          </cell>
          <cell r="H82">
            <v>0</v>
          </cell>
          <cell r="I82">
            <v>3060</v>
          </cell>
          <cell r="J82">
            <v>0</v>
          </cell>
          <cell r="K82">
            <v>0</v>
          </cell>
          <cell r="L82" t="str">
            <v>JPY</v>
          </cell>
          <cell r="M82" t="str">
            <v>CMA</v>
          </cell>
          <cell r="N82">
            <v>0</v>
          </cell>
        </row>
        <row r="83">
          <cell r="A83">
            <v>45</v>
          </cell>
          <cell r="B83" t="str">
            <v>TP436</v>
          </cell>
          <cell r="C83" t="str">
            <v>0614-290C</v>
          </cell>
          <cell r="D83" t="str">
            <v>LEVER BRACKET L12</v>
          </cell>
          <cell r="E83" t="str">
            <v xml:space="preserve">Giá đỡ tay quay </v>
          </cell>
          <cell r="F83">
            <v>0</v>
          </cell>
          <cell r="G83">
            <v>3</v>
          </cell>
          <cell r="H83">
            <v>0</v>
          </cell>
          <cell r="I83">
            <v>558</v>
          </cell>
          <cell r="J83">
            <v>0</v>
          </cell>
          <cell r="K83">
            <v>0</v>
          </cell>
          <cell r="L83" t="str">
            <v>JPY</v>
          </cell>
          <cell r="M83" t="str">
            <v>CMA</v>
          </cell>
          <cell r="N83">
            <v>0</v>
          </cell>
        </row>
        <row r="84">
          <cell r="A84">
            <v>46</v>
          </cell>
          <cell r="B84" t="str">
            <v>TP715</v>
          </cell>
          <cell r="C84" t="str">
            <v>0614-290C</v>
          </cell>
          <cell r="D84" t="str">
            <v>LEVER BRACKET L12</v>
          </cell>
          <cell r="E84" t="str">
            <v xml:space="preserve">Giá đỡ tay quay </v>
          </cell>
          <cell r="F84">
            <v>0</v>
          </cell>
          <cell r="G84">
            <v>3</v>
          </cell>
          <cell r="H84">
            <v>0</v>
          </cell>
          <cell r="I84">
            <v>558</v>
          </cell>
          <cell r="J84">
            <v>0</v>
          </cell>
          <cell r="K84">
            <v>0</v>
          </cell>
          <cell r="L84" t="str">
            <v>JPY</v>
          </cell>
          <cell r="M84" t="str">
            <v>CMA</v>
          </cell>
          <cell r="N84">
            <v>0</v>
          </cell>
        </row>
        <row r="85">
          <cell r="A85">
            <v>47</v>
          </cell>
          <cell r="B85" t="str">
            <v>TP437</v>
          </cell>
          <cell r="C85" t="str">
            <v>0614-272C</v>
          </cell>
          <cell r="D85" t="str">
            <v>CHUCKING LEVER  L12</v>
          </cell>
          <cell r="E85" t="str">
            <v>Mâm kẹp máy tiện L12</v>
          </cell>
          <cell r="F85">
            <v>0</v>
          </cell>
          <cell r="G85">
            <v>2</v>
          </cell>
          <cell r="H85">
            <v>0</v>
          </cell>
          <cell r="I85">
            <v>396</v>
          </cell>
          <cell r="J85">
            <v>0</v>
          </cell>
          <cell r="K85">
            <v>0</v>
          </cell>
          <cell r="L85" t="str">
            <v>JPY</v>
          </cell>
          <cell r="M85" t="str">
            <v>CMA</v>
          </cell>
          <cell r="N85">
            <v>0</v>
          </cell>
        </row>
        <row r="86">
          <cell r="A86">
            <v>48</v>
          </cell>
          <cell r="B86" t="str">
            <v>TP716</v>
          </cell>
          <cell r="C86" t="str">
            <v>0614-272C</v>
          </cell>
          <cell r="D86" t="str">
            <v>CHUCKING LEVER  L12</v>
          </cell>
          <cell r="E86" t="str">
            <v>Mâm kẹp máy tiện L12</v>
          </cell>
          <cell r="F86">
            <v>0</v>
          </cell>
          <cell r="G86">
            <v>2</v>
          </cell>
          <cell r="H86">
            <v>0</v>
          </cell>
          <cell r="I86">
            <v>396</v>
          </cell>
          <cell r="J86">
            <v>0</v>
          </cell>
          <cell r="K86">
            <v>0</v>
          </cell>
          <cell r="L86" t="str">
            <v>JPY</v>
          </cell>
          <cell r="M86" t="str">
            <v>CMA</v>
          </cell>
          <cell r="N86">
            <v>0</v>
          </cell>
        </row>
        <row r="87">
          <cell r="A87">
            <v>49</v>
          </cell>
          <cell r="B87" t="str">
            <v>TP572</v>
          </cell>
          <cell r="C87" t="str">
            <v>0613-238-1C</v>
          </cell>
          <cell r="D87" t="str">
            <v>MOTOR BRACKET</v>
          </cell>
          <cell r="E87" t="str">
            <v>Giá đỡ vỏ motor máy tiện L12</v>
          </cell>
          <cell r="F87">
            <v>0</v>
          </cell>
          <cell r="G87">
            <v>6</v>
          </cell>
          <cell r="H87">
            <v>0</v>
          </cell>
          <cell r="I87">
            <v>1104</v>
          </cell>
          <cell r="J87">
            <v>0</v>
          </cell>
          <cell r="K87">
            <v>0</v>
          </cell>
          <cell r="L87" t="str">
            <v>JPY</v>
          </cell>
          <cell r="M87" t="str">
            <v>CMA</v>
          </cell>
          <cell r="N87">
            <v>0</v>
          </cell>
        </row>
        <row r="88">
          <cell r="A88">
            <v>50</v>
          </cell>
          <cell r="B88" t="str">
            <v>TP725</v>
          </cell>
          <cell r="C88" t="str">
            <v>0613-238-1C</v>
          </cell>
          <cell r="D88" t="str">
            <v>MOTOR BRACKET</v>
          </cell>
          <cell r="E88" t="str">
            <v>Giá đỡ vỏ motor máy tiện L12</v>
          </cell>
          <cell r="F88">
            <v>0</v>
          </cell>
          <cell r="G88">
            <v>6</v>
          </cell>
          <cell r="H88">
            <v>0</v>
          </cell>
          <cell r="I88">
            <v>1104</v>
          </cell>
          <cell r="J88">
            <v>0</v>
          </cell>
          <cell r="K88">
            <v>0</v>
          </cell>
          <cell r="L88" t="str">
            <v>JPY</v>
          </cell>
          <cell r="M88" t="str">
            <v>CMA</v>
          </cell>
          <cell r="N88">
            <v>0</v>
          </cell>
        </row>
        <row r="89">
          <cell r="A89">
            <v>51</v>
          </cell>
          <cell r="B89" t="str">
            <v>TP645</v>
          </cell>
          <cell r="C89" t="str">
            <v>0616-385C</v>
          </cell>
          <cell r="D89" t="str">
            <v>BRACKET L12</v>
          </cell>
          <cell r="E89" t="str">
            <v>Khung giá đỡ máy tiện L12</v>
          </cell>
          <cell r="F89">
            <v>0</v>
          </cell>
          <cell r="G89">
            <v>10</v>
          </cell>
          <cell r="H89">
            <v>0</v>
          </cell>
          <cell r="I89">
            <v>1950</v>
          </cell>
          <cell r="J89">
            <v>0</v>
          </cell>
          <cell r="K89">
            <v>0</v>
          </cell>
          <cell r="L89" t="str">
            <v>JPY</v>
          </cell>
          <cell r="M89" t="str">
            <v>CMA</v>
          </cell>
          <cell r="N89">
            <v>0</v>
          </cell>
        </row>
        <row r="90">
          <cell r="A90">
            <v>52</v>
          </cell>
          <cell r="B90" t="str">
            <v>TP439</v>
          </cell>
          <cell r="C90" t="str">
            <v>0616-385C</v>
          </cell>
          <cell r="D90" t="str">
            <v>BRACKET L12</v>
          </cell>
          <cell r="E90" t="str">
            <v>Khung giá đỡ máy tiện L12</v>
          </cell>
          <cell r="F90">
            <v>0</v>
          </cell>
          <cell r="G90">
            <v>10</v>
          </cell>
          <cell r="H90">
            <v>0</v>
          </cell>
          <cell r="I90">
            <v>1950</v>
          </cell>
          <cell r="J90">
            <v>0</v>
          </cell>
          <cell r="K90">
            <v>0</v>
          </cell>
          <cell r="L90" t="str">
            <v>JPY</v>
          </cell>
          <cell r="M90" t="str">
            <v>CMA</v>
          </cell>
          <cell r="N90">
            <v>0</v>
          </cell>
        </row>
        <row r="91">
          <cell r="A91">
            <v>53</v>
          </cell>
          <cell r="B91" t="str">
            <v>TP646</v>
          </cell>
          <cell r="C91" t="str">
            <v>0615-467-1C</v>
          </cell>
          <cell r="D91" t="str">
            <v>BRACKET 1/2 L12</v>
          </cell>
          <cell r="E91" t="str">
            <v>Khung giá đỡ máy tiện L12</v>
          </cell>
          <cell r="F91">
            <v>0</v>
          </cell>
          <cell r="G91">
            <v>10</v>
          </cell>
          <cell r="H91">
            <v>0</v>
          </cell>
          <cell r="I91">
            <v>1930</v>
          </cell>
          <cell r="J91">
            <v>0</v>
          </cell>
          <cell r="K91">
            <v>0</v>
          </cell>
          <cell r="L91" t="str">
            <v>JPY</v>
          </cell>
          <cell r="M91" t="str">
            <v>CMA</v>
          </cell>
          <cell r="N91">
            <v>0</v>
          </cell>
        </row>
        <row r="92">
          <cell r="A92">
            <v>54</v>
          </cell>
          <cell r="B92" t="str">
            <v>TP550</v>
          </cell>
          <cell r="C92" t="str">
            <v>0614-285-1C</v>
          </cell>
          <cell r="D92" t="str">
            <v>Z2 SLIDE FOR L12</v>
          </cell>
          <cell r="E92" t="str">
            <v>Bàn trượt Z2 máy tiện L12</v>
          </cell>
          <cell r="F92">
            <v>0</v>
          </cell>
          <cell r="G92">
            <v>9</v>
          </cell>
          <cell r="H92">
            <v>0</v>
          </cell>
          <cell r="I92">
            <v>1746</v>
          </cell>
          <cell r="J92">
            <v>0</v>
          </cell>
          <cell r="K92">
            <v>0</v>
          </cell>
          <cell r="L92" t="str">
            <v>JPY</v>
          </cell>
          <cell r="M92" t="str">
            <v>CMA</v>
          </cell>
          <cell r="N92">
            <v>0</v>
          </cell>
        </row>
        <row r="93">
          <cell r="A93">
            <v>55</v>
          </cell>
          <cell r="B93" t="str">
            <v>TP717</v>
          </cell>
          <cell r="C93" t="str">
            <v>0614-285-1C</v>
          </cell>
          <cell r="D93" t="str">
            <v>Z2 SLIDE FOR L12</v>
          </cell>
          <cell r="E93" t="str">
            <v>Bàn trượt Z2 máy tiện L12</v>
          </cell>
          <cell r="F93">
            <v>0</v>
          </cell>
          <cell r="G93">
            <v>9</v>
          </cell>
          <cell r="H93">
            <v>0</v>
          </cell>
          <cell r="I93">
            <v>1746</v>
          </cell>
          <cell r="J93">
            <v>0</v>
          </cell>
          <cell r="K93">
            <v>0</v>
          </cell>
          <cell r="L93" t="str">
            <v>JPY</v>
          </cell>
          <cell r="M93" t="str">
            <v>CMA</v>
          </cell>
          <cell r="N93">
            <v>0</v>
          </cell>
        </row>
        <row r="94">
          <cell r="A94">
            <v>56</v>
          </cell>
          <cell r="B94" t="str">
            <v>TP551</v>
          </cell>
          <cell r="C94" t="str">
            <v>0614-286-1C</v>
          </cell>
          <cell r="D94" t="str">
            <v>BRACKET 1/2 L12</v>
          </cell>
          <cell r="E94" t="str">
            <v>Khung giá đỡ máy tiện L12</v>
          </cell>
          <cell r="F94">
            <v>0</v>
          </cell>
          <cell r="G94">
            <v>6</v>
          </cell>
          <cell r="H94">
            <v>0</v>
          </cell>
          <cell r="I94">
            <v>1164</v>
          </cell>
          <cell r="J94">
            <v>0</v>
          </cell>
          <cell r="K94">
            <v>0</v>
          </cell>
          <cell r="L94" t="str">
            <v>JPY</v>
          </cell>
          <cell r="M94" t="str">
            <v>CMA</v>
          </cell>
          <cell r="N94">
            <v>0</v>
          </cell>
        </row>
        <row r="95">
          <cell r="A95">
            <v>57</v>
          </cell>
          <cell r="B95" t="str">
            <v>TP718</v>
          </cell>
          <cell r="C95" t="str">
            <v>0614-286-1C</v>
          </cell>
          <cell r="D95" t="str">
            <v>BRACKET 1/2 L12</v>
          </cell>
          <cell r="E95" t="str">
            <v>Khung giá đỡ máy tiện L12</v>
          </cell>
          <cell r="F95">
            <v>0</v>
          </cell>
          <cell r="G95">
            <v>6</v>
          </cell>
          <cell r="H95">
            <v>0</v>
          </cell>
          <cell r="I95">
            <v>1164</v>
          </cell>
          <cell r="J95">
            <v>0</v>
          </cell>
          <cell r="K95">
            <v>0</v>
          </cell>
          <cell r="L95" t="str">
            <v>JPY</v>
          </cell>
          <cell r="M95" t="str">
            <v>CMA</v>
          </cell>
          <cell r="N95">
            <v>0</v>
          </cell>
        </row>
        <row r="96">
          <cell r="A96">
            <v>58</v>
          </cell>
          <cell r="B96" t="str">
            <v>TP552</v>
          </cell>
          <cell r="C96" t="str">
            <v>0614-287-1C</v>
          </cell>
          <cell r="D96" t="str">
            <v>SLEEVE HOLDER L12</v>
          </cell>
          <cell r="E96" t="str">
            <v>Thanh đỡ gá kẹp máy tiện L12</v>
          </cell>
          <cell r="F96">
            <v>0</v>
          </cell>
          <cell r="G96">
            <v>13</v>
          </cell>
          <cell r="H96">
            <v>0</v>
          </cell>
          <cell r="I96">
            <v>2379</v>
          </cell>
          <cell r="J96">
            <v>0</v>
          </cell>
          <cell r="K96">
            <v>0</v>
          </cell>
          <cell r="L96" t="str">
            <v>JPY</v>
          </cell>
          <cell r="M96" t="str">
            <v>CMA</v>
          </cell>
          <cell r="N96">
            <v>0</v>
          </cell>
        </row>
        <row r="97">
          <cell r="A97">
            <v>59</v>
          </cell>
          <cell r="B97" t="str">
            <v>TP719</v>
          </cell>
          <cell r="C97" t="str">
            <v>0614-287-1C</v>
          </cell>
          <cell r="D97" t="str">
            <v>SLEEVE HOLDER L12</v>
          </cell>
          <cell r="E97" t="str">
            <v>Thanh đỡ gá kẹp máy tiện L12</v>
          </cell>
          <cell r="F97">
            <v>0</v>
          </cell>
          <cell r="G97">
            <v>13</v>
          </cell>
          <cell r="H97">
            <v>0</v>
          </cell>
          <cell r="I97">
            <v>2379</v>
          </cell>
          <cell r="J97">
            <v>0</v>
          </cell>
          <cell r="K97">
            <v>0</v>
          </cell>
          <cell r="L97" t="str">
            <v>JPY</v>
          </cell>
          <cell r="M97" t="str">
            <v>CMA</v>
          </cell>
          <cell r="N97">
            <v>0</v>
          </cell>
        </row>
        <row r="98">
          <cell r="A98">
            <v>60</v>
          </cell>
          <cell r="B98" t="str">
            <v>TP444</v>
          </cell>
          <cell r="C98" t="str">
            <v>0614-220C</v>
          </cell>
          <cell r="D98" t="str">
            <v>CHUCKING LEVER  L12</v>
          </cell>
          <cell r="E98" t="str">
            <v>Mâm kẹp máy tiện L12</v>
          </cell>
          <cell r="F98">
            <v>0</v>
          </cell>
          <cell r="G98">
            <v>2</v>
          </cell>
          <cell r="H98">
            <v>0</v>
          </cell>
          <cell r="I98">
            <v>392</v>
          </cell>
          <cell r="J98">
            <v>0</v>
          </cell>
          <cell r="K98">
            <v>0</v>
          </cell>
          <cell r="L98" t="str">
            <v>JPY</v>
          </cell>
          <cell r="M98" t="str">
            <v>CMA</v>
          </cell>
          <cell r="N98">
            <v>0</v>
          </cell>
        </row>
        <row r="99">
          <cell r="A99">
            <v>61</v>
          </cell>
          <cell r="B99" t="str">
            <v>TP720</v>
          </cell>
          <cell r="C99" t="str">
            <v>0614-220C</v>
          </cell>
          <cell r="D99" t="str">
            <v>CHUCKING LEVER  L12</v>
          </cell>
          <cell r="E99" t="str">
            <v>Mâm kẹp máy tiện L12</v>
          </cell>
          <cell r="F99">
            <v>0</v>
          </cell>
          <cell r="G99">
            <v>2</v>
          </cell>
          <cell r="H99">
            <v>0</v>
          </cell>
          <cell r="I99">
            <v>392</v>
          </cell>
          <cell r="J99">
            <v>0</v>
          </cell>
          <cell r="K99">
            <v>0</v>
          </cell>
          <cell r="L99" t="str">
            <v>JPY</v>
          </cell>
          <cell r="M99" t="str">
            <v>CMA</v>
          </cell>
          <cell r="N99">
            <v>0</v>
          </cell>
        </row>
        <row r="100">
          <cell r="A100">
            <v>62</v>
          </cell>
          <cell r="B100" t="str">
            <v>TP449</v>
          </cell>
          <cell r="C100" t="str">
            <v>618-076-2C</v>
          </cell>
          <cell r="D100" t="str">
            <v>BED FOR K1216E</v>
          </cell>
          <cell r="E100" t="str">
            <v>Đế máy tiện K1216E</v>
          </cell>
          <cell r="F100">
            <v>0</v>
          </cell>
          <cell r="G100">
            <v>1000</v>
          </cell>
          <cell r="H100">
            <v>0</v>
          </cell>
          <cell r="I100">
            <v>180000</v>
          </cell>
          <cell r="J100">
            <v>0</v>
          </cell>
          <cell r="K100">
            <v>0</v>
          </cell>
          <cell r="L100" t="str">
            <v>JPY</v>
          </cell>
          <cell r="M100" t="str">
            <v>CMA</v>
          </cell>
          <cell r="N100">
            <v>0</v>
          </cell>
        </row>
        <row r="101">
          <cell r="A101">
            <v>63</v>
          </cell>
          <cell r="B101" t="str">
            <v>TP409</v>
          </cell>
          <cell r="C101" t="str">
            <v>618-076-2C</v>
          </cell>
          <cell r="D101" t="str">
            <v>BED FOR K1216E</v>
          </cell>
          <cell r="E101" t="str">
            <v>Đế máy tiện K1216E</v>
          </cell>
          <cell r="F101">
            <v>0</v>
          </cell>
          <cell r="G101">
            <v>1000</v>
          </cell>
          <cell r="H101">
            <v>0</v>
          </cell>
          <cell r="I101">
            <v>180000</v>
          </cell>
          <cell r="J101">
            <v>0</v>
          </cell>
          <cell r="K101">
            <v>0</v>
          </cell>
          <cell r="L101" t="str">
            <v>JPY</v>
          </cell>
          <cell r="M101" t="str">
            <v>CMA</v>
          </cell>
          <cell r="N101">
            <v>0</v>
          </cell>
        </row>
        <row r="102">
          <cell r="A102">
            <v>64</v>
          </cell>
          <cell r="B102" t="str">
            <v>TP536</v>
          </cell>
          <cell r="C102" t="str">
            <v>618-075-4C</v>
          </cell>
          <cell r="D102" t="str">
            <v>BED FOR L20E</v>
          </cell>
          <cell r="E102" t="str">
            <v>Đế máy tiện L20E</v>
          </cell>
          <cell r="F102">
            <v>0</v>
          </cell>
          <cell r="G102">
            <v>1100</v>
          </cell>
          <cell r="H102">
            <v>0</v>
          </cell>
          <cell r="I102">
            <v>190300</v>
          </cell>
          <cell r="J102">
            <v>0</v>
          </cell>
          <cell r="K102">
            <v>0</v>
          </cell>
          <cell r="L102" t="str">
            <v>JPY</v>
          </cell>
          <cell r="M102" t="str">
            <v>CMA</v>
          </cell>
          <cell r="N102">
            <v>0</v>
          </cell>
        </row>
        <row r="103">
          <cell r="A103">
            <v>65</v>
          </cell>
          <cell r="B103" t="str">
            <v>TP710</v>
          </cell>
          <cell r="C103" t="str">
            <v>0617-106-1C</v>
          </cell>
          <cell r="D103" t="str">
            <v>TOOL POST B1216E</v>
          </cell>
          <cell r="E103" t="str">
            <v>Đầu máy tiện B1216E</v>
          </cell>
          <cell r="F103">
            <v>0</v>
          </cell>
          <cell r="G103">
            <v>94</v>
          </cell>
          <cell r="H103">
            <v>0</v>
          </cell>
          <cell r="I103">
            <v>17575</v>
          </cell>
          <cell r="J103">
            <v>0</v>
          </cell>
          <cell r="K103">
            <v>0</v>
          </cell>
          <cell r="L103" t="str">
            <v>JPY</v>
          </cell>
          <cell r="M103" t="str">
            <v>CMA</v>
          </cell>
          <cell r="N103">
            <v>0</v>
          </cell>
        </row>
        <row r="104">
          <cell r="A104">
            <v>66</v>
          </cell>
          <cell r="B104" t="str">
            <v>TP610</v>
          </cell>
          <cell r="C104" t="str">
            <v>0618-081-2C</v>
          </cell>
          <cell r="D104" t="str">
            <v>BED FOR L12</v>
          </cell>
          <cell r="E104" t="str">
            <v>Thân máy tiện L12</v>
          </cell>
          <cell r="F104">
            <v>0</v>
          </cell>
          <cell r="G104">
            <v>872</v>
          </cell>
          <cell r="H104">
            <v>0</v>
          </cell>
          <cell r="I104">
            <v>148512</v>
          </cell>
          <cell r="J104">
            <v>0</v>
          </cell>
          <cell r="K104">
            <v>0</v>
          </cell>
          <cell r="L104" t="str">
            <v>JPY</v>
          </cell>
          <cell r="M104" t="str">
            <v>CMA</v>
          </cell>
          <cell r="N104">
            <v>0</v>
          </cell>
        </row>
        <row r="105">
          <cell r="A105">
            <v>67</v>
          </cell>
          <cell r="B105" t="str">
            <v>TP703</v>
          </cell>
          <cell r="C105" t="str">
            <v>0617-107-1C</v>
          </cell>
          <cell r="D105" t="str">
            <v>BED B1216E</v>
          </cell>
          <cell r="E105" t="str">
            <v>Đế máy tiện B1216E</v>
          </cell>
          <cell r="F105">
            <v>0</v>
          </cell>
          <cell r="G105">
            <v>523</v>
          </cell>
          <cell r="H105">
            <v>0</v>
          </cell>
          <cell r="I105">
            <v>95900</v>
          </cell>
          <cell r="J105">
            <v>0</v>
          </cell>
          <cell r="K105">
            <v>0</v>
          </cell>
          <cell r="L105" t="str">
            <v>JPY</v>
          </cell>
          <cell r="M105" t="str">
            <v>CMA</v>
          </cell>
          <cell r="N105">
            <v>0</v>
          </cell>
        </row>
        <row r="106">
          <cell r="A106">
            <v>68</v>
          </cell>
          <cell r="B106" t="str">
            <v>TP470</v>
          </cell>
          <cell r="C106" t="str">
            <v>0616-376</v>
          </cell>
          <cell r="D106" t="str">
            <v>HEAD STOCK FOR A232</v>
          </cell>
          <cell r="E106" t="str">
            <v>Đầu bàn gá máy tiện A232</v>
          </cell>
          <cell r="F106">
            <v>0</v>
          </cell>
          <cell r="G106">
            <v>75.5</v>
          </cell>
          <cell r="H106">
            <v>0</v>
          </cell>
          <cell r="I106">
            <v>13967</v>
          </cell>
          <cell r="J106">
            <v>0</v>
          </cell>
          <cell r="K106">
            <v>0</v>
          </cell>
          <cell r="L106" t="str">
            <v>JPY</v>
          </cell>
          <cell r="M106" t="str">
            <v>CMA</v>
          </cell>
          <cell r="N106">
            <v>0</v>
          </cell>
        </row>
        <row r="107">
          <cell r="A107">
            <v>69</v>
          </cell>
          <cell r="B107" t="str">
            <v>TP672</v>
          </cell>
          <cell r="C107" t="str">
            <v>0616-376</v>
          </cell>
          <cell r="D107" t="str">
            <v>HEAD STOCK FOR A232</v>
          </cell>
          <cell r="E107" t="str">
            <v>Đầu bàn gá máy tiện A232</v>
          </cell>
          <cell r="F107">
            <v>0</v>
          </cell>
          <cell r="G107">
            <v>75.5</v>
          </cell>
          <cell r="H107">
            <v>0</v>
          </cell>
          <cell r="I107">
            <v>13967</v>
          </cell>
          <cell r="J107">
            <v>0</v>
          </cell>
          <cell r="K107">
            <v>0</v>
          </cell>
          <cell r="L107" t="str">
            <v>JPY</v>
          </cell>
          <cell r="M107" t="str">
            <v>CMA</v>
          </cell>
          <cell r="N107">
            <v>0</v>
          </cell>
        </row>
        <row r="108">
          <cell r="A108">
            <v>70</v>
          </cell>
          <cell r="B108" t="str">
            <v>TP539</v>
          </cell>
          <cell r="C108" t="str">
            <v>617-083-5C</v>
          </cell>
          <cell r="D108" t="str">
            <v>TOOL STOCK FOR A32</v>
          </cell>
          <cell r="E108" t="str">
            <v>Bàn gá dao cho máy tiện A32</v>
          </cell>
          <cell r="F108">
            <v>0</v>
          </cell>
          <cell r="G108">
            <v>228</v>
          </cell>
          <cell r="H108">
            <v>0</v>
          </cell>
          <cell r="I108">
            <v>41040</v>
          </cell>
          <cell r="J108">
            <v>0</v>
          </cell>
          <cell r="K108">
            <v>0</v>
          </cell>
          <cell r="L108" t="str">
            <v>JPY</v>
          </cell>
          <cell r="M108" t="str">
            <v>CMA</v>
          </cell>
          <cell r="N108">
            <v>0</v>
          </cell>
        </row>
        <row r="109">
          <cell r="A109">
            <v>71</v>
          </cell>
          <cell r="B109" t="str">
            <v>TP679</v>
          </cell>
          <cell r="C109" t="str">
            <v>617-083-5C</v>
          </cell>
          <cell r="D109" t="str">
            <v>TOOL STOCK FOR A32</v>
          </cell>
          <cell r="E109" t="str">
            <v>Bàn gá dao cho máy tiện A32</v>
          </cell>
          <cell r="F109">
            <v>0</v>
          </cell>
          <cell r="G109">
            <v>228</v>
          </cell>
          <cell r="H109">
            <v>0</v>
          </cell>
          <cell r="I109">
            <v>41040</v>
          </cell>
          <cell r="J109">
            <v>0</v>
          </cell>
          <cell r="K109">
            <v>0</v>
          </cell>
          <cell r="L109" t="str">
            <v>JPY</v>
          </cell>
          <cell r="M109" t="str">
            <v>CMA</v>
          </cell>
          <cell r="N109">
            <v>0</v>
          </cell>
        </row>
        <row r="110">
          <cell r="A110">
            <v>72</v>
          </cell>
          <cell r="B110" t="str">
            <v>TP540</v>
          </cell>
          <cell r="C110" t="str">
            <v>617-086-3C</v>
          </cell>
          <cell r="D110" t="str">
            <v>Z SLIDE FOR A32</v>
          </cell>
          <cell r="E110" t="str">
            <v>Bàn trượt Z cho máy tiện A32</v>
          </cell>
          <cell r="F110">
            <v>0</v>
          </cell>
          <cell r="G110">
            <v>100</v>
          </cell>
          <cell r="H110">
            <v>0</v>
          </cell>
          <cell r="I110">
            <v>17640</v>
          </cell>
          <cell r="J110">
            <v>0</v>
          </cell>
          <cell r="K110">
            <v>0</v>
          </cell>
          <cell r="L110" t="str">
            <v>JPY</v>
          </cell>
          <cell r="M110" t="str">
            <v>CMA</v>
          </cell>
          <cell r="N110">
            <v>0</v>
          </cell>
        </row>
        <row r="111">
          <cell r="A111">
            <v>73</v>
          </cell>
          <cell r="B111" t="str">
            <v>TP614</v>
          </cell>
          <cell r="C111" t="str">
            <v>617-086-3C</v>
          </cell>
          <cell r="D111" t="str">
            <v>Z SLIDE FOR A32</v>
          </cell>
          <cell r="E111" t="str">
            <v>Bàn trượt Z cho máy tiện A32</v>
          </cell>
          <cell r="F111">
            <v>0</v>
          </cell>
          <cell r="G111">
            <v>100</v>
          </cell>
          <cell r="H111">
            <v>0</v>
          </cell>
          <cell r="I111">
            <v>17640</v>
          </cell>
          <cell r="J111">
            <v>0</v>
          </cell>
          <cell r="K111">
            <v>0</v>
          </cell>
          <cell r="L111" t="str">
            <v>JPY</v>
          </cell>
          <cell r="M111" t="str">
            <v>CMA</v>
          </cell>
          <cell r="N111">
            <v>0</v>
          </cell>
        </row>
        <row r="112">
          <cell r="A112">
            <v>74</v>
          </cell>
          <cell r="B112" t="str">
            <v>TP473</v>
          </cell>
          <cell r="C112" t="str">
            <v>0616-255C</v>
          </cell>
          <cell r="D112" t="str">
            <v>HEAD STOCK B1216E</v>
          </cell>
          <cell r="E112" t="str">
            <v>Đầu bàn gá máy tiện B1216E</v>
          </cell>
          <cell r="F112">
            <v>0</v>
          </cell>
          <cell r="G112">
            <v>48</v>
          </cell>
          <cell r="H112">
            <v>0</v>
          </cell>
          <cell r="I112">
            <v>9552</v>
          </cell>
          <cell r="J112">
            <v>0</v>
          </cell>
          <cell r="K112">
            <v>0</v>
          </cell>
          <cell r="L112" t="str">
            <v>JPY</v>
          </cell>
          <cell r="M112" t="str">
            <v>CMA</v>
          </cell>
          <cell r="N112">
            <v>0</v>
          </cell>
        </row>
        <row r="113">
          <cell r="A113">
            <v>75</v>
          </cell>
          <cell r="B113" t="str">
            <v>TP489</v>
          </cell>
          <cell r="C113" t="str">
            <v>0616-386-1C</v>
          </cell>
          <cell r="D113" t="str">
            <v>CROSS SLIDE FOR L12</v>
          </cell>
          <cell r="E113" t="str">
            <v>Bàn trượt ngang máy tiện L12</v>
          </cell>
          <cell r="F113">
            <v>0</v>
          </cell>
          <cell r="G113">
            <v>22</v>
          </cell>
          <cell r="H113">
            <v>0</v>
          </cell>
          <cell r="I113">
            <v>3870</v>
          </cell>
          <cell r="J113">
            <v>0</v>
          </cell>
          <cell r="K113">
            <v>0</v>
          </cell>
          <cell r="L113" t="str">
            <v>JPY</v>
          </cell>
          <cell r="M113" t="str">
            <v>CMA</v>
          </cell>
          <cell r="N113">
            <v>0</v>
          </cell>
        </row>
        <row r="114">
          <cell r="A114">
            <v>76</v>
          </cell>
          <cell r="B114" t="str">
            <v>TP688</v>
          </cell>
          <cell r="C114" t="str">
            <v>0616-386-1C</v>
          </cell>
          <cell r="D114" t="str">
            <v>CROSS SLIDE FOR L12</v>
          </cell>
          <cell r="E114" t="str">
            <v>Bàn trượt ngang máy tiện L12</v>
          </cell>
          <cell r="F114">
            <v>0</v>
          </cell>
          <cell r="G114">
            <v>22</v>
          </cell>
          <cell r="H114">
            <v>0</v>
          </cell>
          <cell r="I114">
            <v>3870</v>
          </cell>
          <cell r="J114">
            <v>0</v>
          </cell>
          <cell r="K114">
            <v>0</v>
          </cell>
          <cell r="L114" t="str">
            <v>JPY</v>
          </cell>
          <cell r="M114" t="str">
            <v>CMA</v>
          </cell>
          <cell r="N114">
            <v>0</v>
          </cell>
        </row>
        <row r="115">
          <cell r="A115">
            <v>77</v>
          </cell>
          <cell r="B115" t="str">
            <v>TP490</v>
          </cell>
          <cell r="C115" t="str">
            <v>0616-387-1C</v>
          </cell>
          <cell r="D115" t="str">
            <v>CROSS SLIDE FOR L12</v>
          </cell>
          <cell r="E115" t="str">
            <v>Bàn trượt ngang máy tiện L12</v>
          </cell>
          <cell r="F115">
            <v>0</v>
          </cell>
          <cell r="G115">
            <v>26</v>
          </cell>
          <cell r="H115">
            <v>0</v>
          </cell>
          <cell r="I115">
            <v>4550</v>
          </cell>
          <cell r="J115">
            <v>0</v>
          </cell>
          <cell r="K115">
            <v>0</v>
          </cell>
          <cell r="L115" t="str">
            <v>JPY</v>
          </cell>
          <cell r="M115" t="str">
            <v>CMA</v>
          </cell>
          <cell r="N115">
            <v>0</v>
          </cell>
        </row>
        <row r="116">
          <cell r="A116">
            <v>78</v>
          </cell>
          <cell r="B116" t="str">
            <v>TP689</v>
          </cell>
          <cell r="C116" t="str">
            <v>0616-387-1C</v>
          </cell>
          <cell r="D116" t="str">
            <v>CROSS SLIDE FOR L12</v>
          </cell>
          <cell r="E116" t="str">
            <v>Bàn trượt ngang máy tiện L12</v>
          </cell>
          <cell r="F116">
            <v>0</v>
          </cell>
          <cell r="G116">
            <v>26</v>
          </cell>
          <cell r="H116">
            <v>0</v>
          </cell>
          <cell r="I116">
            <v>4550</v>
          </cell>
          <cell r="J116">
            <v>0</v>
          </cell>
          <cell r="K116">
            <v>0</v>
          </cell>
          <cell r="L116" t="str">
            <v>JPY</v>
          </cell>
          <cell r="M116" t="str">
            <v>CMA</v>
          </cell>
          <cell r="N116">
            <v>0</v>
          </cell>
        </row>
        <row r="117">
          <cell r="A117">
            <v>79</v>
          </cell>
          <cell r="B117" t="str">
            <v>TP531</v>
          </cell>
          <cell r="C117" t="str">
            <v>0615-357-1C</v>
          </cell>
          <cell r="D117" t="str">
            <v>HEAD STOCK BRACKET</v>
          </cell>
          <cell r="E117" t="str">
            <v xml:space="preserve">Đầu bàn gá máy tiện@615-357-1 </v>
          </cell>
          <cell r="F117">
            <v>0</v>
          </cell>
          <cell r="G117">
            <v>13</v>
          </cell>
          <cell r="H117">
            <v>0</v>
          </cell>
          <cell r="I117">
            <v>2470</v>
          </cell>
          <cell r="J117">
            <v>0</v>
          </cell>
          <cell r="K117">
            <v>0</v>
          </cell>
          <cell r="L117" t="str">
            <v>JPY</v>
          </cell>
          <cell r="M117" t="str">
            <v>CMA</v>
          </cell>
          <cell r="N117">
            <v>0</v>
          </cell>
        </row>
        <row r="118">
          <cell r="A118">
            <v>80</v>
          </cell>
          <cell r="B118" t="str">
            <v>TP533</v>
          </cell>
          <cell r="C118" t="str">
            <v>0615-356C</v>
          </cell>
          <cell r="D118" t="str">
            <v>HEAD STOCK FOR A220</v>
          </cell>
          <cell r="E118" t="str">
            <v>Đầu bàn trượt máy tiện A220</v>
          </cell>
          <cell r="F118">
            <v>0</v>
          </cell>
          <cell r="G118">
            <v>38</v>
          </cell>
          <cell r="H118">
            <v>0</v>
          </cell>
          <cell r="I118">
            <v>7220</v>
          </cell>
          <cell r="J118">
            <v>0</v>
          </cell>
          <cell r="K118">
            <v>0</v>
          </cell>
          <cell r="L118" t="str">
            <v>JPY</v>
          </cell>
          <cell r="M118" t="str">
            <v>CMA</v>
          </cell>
          <cell r="N118">
            <v>0</v>
          </cell>
        </row>
        <row r="119">
          <cell r="A119">
            <v>81</v>
          </cell>
          <cell r="B119" t="str">
            <v>TP724</v>
          </cell>
          <cell r="C119" t="str">
            <v>0615-356C</v>
          </cell>
          <cell r="D119" t="str">
            <v>HEAD STOCK FOR A220</v>
          </cell>
          <cell r="E119" t="str">
            <v>Đầu bàn trượt máy tiện A220</v>
          </cell>
          <cell r="F119">
            <v>0</v>
          </cell>
          <cell r="G119">
            <v>38</v>
          </cell>
          <cell r="H119">
            <v>0</v>
          </cell>
          <cell r="I119">
            <v>7220</v>
          </cell>
          <cell r="J119">
            <v>0</v>
          </cell>
          <cell r="K119">
            <v>0</v>
          </cell>
          <cell r="L119" t="str">
            <v>JPY</v>
          </cell>
          <cell r="M119" t="str">
            <v>CMA</v>
          </cell>
          <cell r="N119">
            <v>0</v>
          </cell>
        </row>
        <row r="120">
          <cell r="A120">
            <v>82</v>
          </cell>
          <cell r="B120" t="str">
            <v>TP611</v>
          </cell>
          <cell r="C120" t="str">
            <v>618-069-5C</v>
          </cell>
          <cell r="D120" t="str">
            <v>BED FOR A220</v>
          </cell>
          <cell r="E120" t="str">
            <v>Đế máy tiện A220</v>
          </cell>
          <cell r="F120">
            <v>0</v>
          </cell>
          <cell r="G120">
            <v>1390</v>
          </cell>
          <cell r="H120">
            <v>0</v>
          </cell>
          <cell r="I120">
            <v>227140</v>
          </cell>
          <cell r="J120">
            <v>0</v>
          </cell>
          <cell r="K120">
            <v>0</v>
          </cell>
          <cell r="L120" t="str">
            <v>JPY</v>
          </cell>
          <cell r="M120" t="str">
            <v>CMA</v>
          </cell>
          <cell r="N120">
            <v>0</v>
          </cell>
        </row>
        <row r="121">
          <cell r="A121">
            <v>83</v>
          </cell>
          <cell r="B121" t="str">
            <v>TP534</v>
          </cell>
          <cell r="C121" t="str">
            <v>618-069-5C</v>
          </cell>
          <cell r="D121" t="str">
            <v>BED FOR A220</v>
          </cell>
          <cell r="E121" t="str">
            <v>Đế máy tiện A220</v>
          </cell>
          <cell r="F121">
            <v>0</v>
          </cell>
          <cell r="G121">
            <v>1350</v>
          </cell>
          <cell r="H121">
            <v>0</v>
          </cell>
          <cell r="I121">
            <v>227140</v>
          </cell>
          <cell r="J121">
            <v>0</v>
          </cell>
          <cell r="K121">
            <v>0</v>
          </cell>
          <cell r="L121" t="str">
            <v>JPY</v>
          </cell>
          <cell r="M121" t="str">
            <v>CMA</v>
          </cell>
          <cell r="N121">
            <v>0</v>
          </cell>
        </row>
        <row r="122">
          <cell r="A122">
            <v>84</v>
          </cell>
          <cell r="B122">
            <v>0</v>
          </cell>
          <cell r="C122" t="str">
            <v>615-461-1</v>
          </cell>
          <cell r="D122" t="str">
            <v>X SLIDE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3060</v>
          </cell>
          <cell r="J122">
            <v>0</v>
          </cell>
          <cell r="K122">
            <v>0</v>
          </cell>
          <cell r="L122" t="str">
            <v>JPY</v>
          </cell>
          <cell r="M122" t="str">
            <v>CMA</v>
          </cell>
          <cell r="N122">
            <v>0</v>
          </cell>
        </row>
        <row r="123">
          <cell r="A123">
            <v>85</v>
          </cell>
          <cell r="B123">
            <v>0</v>
          </cell>
          <cell r="C123" t="str">
            <v>0614-256-1</v>
          </cell>
          <cell r="D123" t="str">
            <v>MOTOR BASE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6770</v>
          </cell>
          <cell r="J123">
            <v>0</v>
          </cell>
          <cell r="K123">
            <v>0</v>
          </cell>
          <cell r="L123" t="str">
            <v>JPY</v>
          </cell>
          <cell r="M123" t="str">
            <v>CMA</v>
          </cell>
          <cell r="N123">
            <v>0</v>
          </cell>
        </row>
        <row r="124">
          <cell r="A124">
            <v>86</v>
          </cell>
          <cell r="B124">
            <v>0</v>
          </cell>
          <cell r="C124" t="str">
            <v>0615-470-1</v>
          </cell>
          <cell r="D124" t="str">
            <v>HEAD STOCK BRACKET</v>
          </cell>
          <cell r="E124">
            <v>0</v>
          </cell>
          <cell r="F124">
            <v>0</v>
          </cell>
          <cell r="G124">
            <v>9</v>
          </cell>
          <cell r="H124">
            <v>0</v>
          </cell>
          <cell r="I124">
            <v>13849</v>
          </cell>
          <cell r="J124">
            <v>0</v>
          </cell>
          <cell r="K124">
            <v>0</v>
          </cell>
          <cell r="L124" t="str">
            <v>JPY</v>
          </cell>
          <cell r="M124" t="str">
            <v>CMA</v>
          </cell>
          <cell r="N124">
            <v>0</v>
          </cell>
        </row>
        <row r="125">
          <cell r="A125">
            <v>87</v>
          </cell>
          <cell r="B125">
            <v>0</v>
          </cell>
          <cell r="C125" t="str">
            <v>0613-232</v>
          </cell>
          <cell r="D125" t="str">
            <v>ADJUSTMENT ARM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6380</v>
          </cell>
          <cell r="J125">
            <v>0</v>
          </cell>
          <cell r="K125">
            <v>0</v>
          </cell>
          <cell r="L125" t="str">
            <v>JPY</v>
          </cell>
          <cell r="M125" t="str">
            <v>CMA</v>
          </cell>
          <cell r="N125">
            <v>0</v>
          </cell>
        </row>
        <row r="126">
          <cell r="A126">
            <v>88</v>
          </cell>
          <cell r="B126">
            <v>0</v>
          </cell>
          <cell r="C126" t="str">
            <v>0615-304</v>
          </cell>
          <cell r="D126" t="str">
            <v>HEAD STOCK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8565</v>
          </cell>
          <cell r="J126">
            <v>0</v>
          </cell>
          <cell r="K126">
            <v>0</v>
          </cell>
          <cell r="L126" t="str">
            <v>JPY</v>
          </cell>
          <cell r="M126" t="str">
            <v>CMA</v>
          </cell>
          <cell r="N126">
            <v>0</v>
          </cell>
        </row>
        <row r="127">
          <cell r="A127">
            <v>89</v>
          </cell>
          <cell r="B127">
            <v>0</v>
          </cell>
          <cell r="C127" t="str">
            <v>0615-305</v>
          </cell>
          <cell r="D127" t="str">
            <v>BRACKET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10475</v>
          </cell>
          <cell r="J127">
            <v>0</v>
          </cell>
          <cell r="K127">
            <v>0</v>
          </cell>
          <cell r="L127" t="str">
            <v>JPY</v>
          </cell>
          <cell r="M127" t="str">
            <v>CMA</v>
          </cell>
          <cell r="N127">
            <v>0</v>
          </cell>
        </row>
        <row r="128">
          <cell r="A128">
            <v>90</v>
          </cell>
          <cell r="B128" t="str">
            <v>TP517</v>
          </cell>
          <cell r="C128" t="str">
            <v>617-112-1C</v>
          </cell>
          <cell r="D128" t="str">
            <v>TOOL POST L12</v>
          </cell>
          <cell r="E128">
            <v>0</v>
          </cell>
          <cell r="F128">
            <v>0</v>
          </cell>
          <cell r="G128">
            <v>126</v>
          </cell>
          <cell r="H128">
            <v>0</v>
          </cell>
          <cell r="I128">
            <v>22050</v>
          </cell>
          <cell r="J128">
            <v>0</v>
          </cell>
          <cell r="K128">
            <v>0</v>
          </cell>
          <cell r="L128" t="str">
            <v>JPY</v>
          </cell>
          <cell r="M128" t="str">
            <v>CMA</v>
          </cell>
          <cell r="N128">
            <v>0</v>
          </cell>
        </row>
        <row r="129">
          <cell r="A129">
            <v>91</v>
          </cell>
          <cell r="B129" t="str">
            <v>TP690</v>
          </cell>
          <cell r="C129" t="str">
            <v>617-112-1C</v>
          </cell>
          <cell r="D129" t="str">
            <v>TOOL POST L12</v>
          </cell>
          <cell r="E129">
            <v>0</v>
          </cell>
          <cell r="F129">
            <v>0</v>
          </cell>
          <cell r="G129">
            <v>126</v>
          </cell>
          <cell r="H129">
            <v>0</v>
          </cell>
          <cell r="I129">
            <v>22050</v>
          </cell>
          <cell r="J129">
            <v>0</v>
          </cell>
          <cell r="K129">
            <v>0</v>
          </cell>
          <cell r="L129" t="str">
            <v>JPY</v>
          </cell>
          <cell r="M129" t="str">
            <v>CMA</v>
          </cell>
          <cell r="N129">
            <v>0</v>
          </cell>
        </row>
        <row r="130">
          <cell r="A130">
            <v>92</v>
          </cell>
          <cell r="B130" t="str">
            <v>SPCNC192</v>
          </cell>
          <cell r="C130" t="str">
            <v>615-336-6A</v>
          </cell>
          <cell r="D130" t="str">
            <v>MOTOR HOUSING FOR A220</v>
          </cell>
          <cell r="E130">
            <v>0</v>
          </cell>
          <cell r="F130">
            <v>0</v>
          </cell>
          <cell r="G130">
            <v>25</v>
          </cell>
          <cell r="H130">
            <v>4</v>
          </cell>
          <cell r="I130">
            <v>20750</v>
          </cell>
          <cell r="J130">
            <v>0</v>
          </cell>
          <cell r="K130">
            <v>0</v>
          </cell>
          <cell r="L130" t="str">
            <v>JPY</v>
          </cell>
          <cell r="M130" t="str">
            <v>CMA</v>
          </cell>
          <cell r="N130">
            <v>0</v>
          </cell>
        </row>
        <row r="131">
          <cell r="A131">
            <v>93</v>
          </cell>
          <cell r="B131" t="str">
            <v>TP542</v>
          </cell>
          <cell r="C131" t="str">
            <v>0617-088-2C</v>
          </cell>
          <cell r="D131" t="str">
            <v>CROSS SLIDE FOR A220</v>
          </cell>
          <cell r="E131" t="str">
            <v>Bàn trượt ngang cho máy tiện A220</v>
          </cell>
          <cell r="F131">
            <v>0</v>
          </cell>
          <cell r="G131">
            <v>61</v>
          </cell>
          <cell r="H131">
            <v>0</v>
          </cell>
          <cell r="I131">
            <v>9882</v>
          </cell>
          <cell r="J131">
            <v>0</v>
          </cell>
          <cell r="K131">
            <v>0</v>
          </cell>
          <cell r="L131" t="str">
            <v>JPY</v>
          </cell>
          <cell r="M131" t="str">
            <v>CMA</v>
          </cell>
          <cell r="N131">
            <v>0</v>
          </cell>
        </row>
        <row r="132">
          <cell r="A132">
            <v>94</v>
          </cell>
          <cell r="B132" t="str">
            <v>TP667</v>
          </cell>
          <cell r="C132" t="str">
            <v>0617-088-2C</v>
          </cell>
          <cell r="D132" t="str">
            <v>CROSS SLIDE FOR A220</v>
          </cell>
          <cell r="E132" t="str">
            <v>Bàn trượt ngang cho máy tiện A220</v>
          </cell>
          <cell r="F132">
            <v>0</v>
          </cell>
          <cell r="G132">
            <v>61</v>
          </cell>
          <cell r="H132">
            <v>0</v>
          </cell>
          <cell r="I132">
            <v>9882</v>
          </cell>
          <cell r="J132">
            <v>0</v>
          </cell>
          <cell r="K132">
            <v>0</v>
          </cell>
          <cell r="L132" t="str">
            <v>JPY</v>
          </cell>
          <cell r="M132" t="str">
            <v>CMA</v>
          </cell>
          <cell r="N132">
            <v>0</v>
          </cell>
        </row>
        <row r="133">
          <cell r="A133">
            <v>95</v>
          </cell>
          <cell r="B133" t="str">
            <v>SPCNC190</v>
          </cell>
          <cell r="C133" t="str">
            <v>617-088-6A</v>
          </cell>
          <cell r="D133" t="str">
            <v>CROSS SLIDE</v>
          </cell>
          <cell r="E133" t="str">
            <v>Bàn trượt ngang cho máy tiện A220</v>
          </cell>
          <cell r="F133">
            <v>0</v>
          </cell>
          <cell r="G133">
            <v>61</v>
          </cell>
          <cell r="H133">
            <v>8</v>
          </cell>
          <cell r="I133">
            <v>29882</v>
          </cell>
          <cell r="J133">
            <v>0</v>
          </cell>
          <cell r="K133">
            <v>0</v>
          </cell>
          <cell r="L133" t="str">
            <v>JPY</v>
          </cell>
          <cell r="M133" t="str">
            <v>CMA</v>
          </cell>
          <cell r="N133">
            <v>0</v>
          </cell>
        </row>
        <row r="134">
          <cell r="A134">
            <v>96</v>
          </cell>
          <cell r="B134" t="str">
            <v>TP559</v>
          </cell>
          <cell r="C134" t="str">
            <v>617-084-2C</v>
          </cell>
          <cell r="D134" t="str">
            <v>X SLIDE FOR A32</v>
          </cell>
          <cell r="E134" t="str">
            <v>Bàn trượt X cho máy tiện A32</v>
          </cell>
          <cell r="F134">
            <v>0</v>
          </cell>
          <cell r="G134">
            <v>95</v>
          </cell>
          <cell r="H134">
            <v>0</v>
          </cell>
          <cell r="I134">
            <v>16920</v>
          </cell>
          <cell r="J134">
            <v>0</v>
          </cell>
          <cell r="K134">
            <v>0</v>
          </cell>
          <cell r="L134" t="str">
            <v>JPY</v>
          </cell>
          <cell r="M134" t="str">
            <v>CMA</v>
          </cell>
          <cell r="N134">
            <v>0</v>
          </cell>
        </row>
        <row r="135">
          <cell r="A135">
            <v>97</v>
          </cell>
          <cell r="B135" t="str">
            <v>TP680</v>
          </cell>
          <cell r="C135" t="str">
            <v>617-084-2C</v>
          </cell>
          <cell r="D135" t="str">
            <v>X SLIDE FOR A32</v>
          </cell>
          <cell r="E135" t="str">
            <v>Bàn trượt X cho máy tiện A32</v>
          </cell>
          <cell r="F135">
            <v>0</v>
          </cell>
          <cell r="G135">
            <v>95</v>
          </cell>
          <cell r="H135">
            <v>0</v>
          </cell>
          <cell r="I135">
            <v>16920</v>
          </cell>
          <cell r="J135">
            <v>0</v>
          </cell>
          <cell r="K135">
            <v>0</v>
          </cell>
          <cell r="L135" t="str">
            <v>JPY</v>
          </cell>
          <cell r="M135" t="str">
            <v>CMA</v>
          </cell>
          <cell r="N135">
            <v>0</v>
          </cell>
        </row>
        <row r="136">
          <cell r="A136">
            <v>98</v>
          </cell>
          <cell r="B136" t="str">
            <v>TP681</v>
          </cell>
          <cell r="C136" t="str">
            <v>617-085 C</v>
          </cell>
          <cell r="D136" t="str">
            <v>Y SLIDE FOR A32</v>
          </cell>
          <cell r="E136" t="str">
            <v>Bàn trượt Y cho máy tiện A32</v>
          </cell>
          <cell r="F136">
            <v>0</v>
          </cell>
          <cell r="G136">
            <v>72</v>
          </cell>
          <cell r="H136">
            <v>0</v>
          </cell>
          <cell r="I136">
            <v>12240</v>
          </cell>
          <cell r="J136">
            <v>0</v>
          </cell>
          <cell r="K136">
            <v>0</v>
          </cell>
          <cell r="L136" t="str">
            <v>JPY</v>
          </cell>
          <cell r="M136" t="str">
            <v>CMA</v>
          </cell>
          <cell r="N136">
            <v>0</v>
          </cell>
        </row>
        <row r="137">
          <cell r="A137">
            <v>99</v>
          </cell>
          <cell r="B137" t="str">
            <v>TP380</v>
          </cell>
          <cell r="C137" t="str">
            <v>617-085 C</v>
          </cell>
          <cell r="D137" t="str">
            <v>Y SLIDE FOR A32</v>
          </cell>
          <cell r="E137" t="str">
            <v>Bàn trượt Y cho máy tiện A32</v>
          </cell>
          <cell r="F137">
            <v>0</v>
          </cell>
          <cell r="G137">
            <v>72</v>
          </cell>
          <cell r="H137">
            <v>0</v>
          </cell>
          <cell r="I137">
            <v>12240</v>
          </cell>
          <cell r="J137">
            <v>0</v>
          </cell>
          <cell r="K137">
            <v>0</v>
          </cell>
          <cell r="L137" t="str">
            <v>JPY</v>
          </cell>
          <cell r="M137" t="str">
            <v>CMA</v>
          </cell>
          <cell r="N137">
            <v>0</v>
          </cell>
        </row>
        <row r="138">
          <cell r="A138">
            <v>100</v>
          </cell>
          <cell r="B138" t="str">
            <v>TP563</v>
          </cell>
          <cell r="C138" t="str">
            <v>0615-336-2C</v>
          </cell>
          <cell r="D138" t="str">
            <v>MOTOR HOUSING FOR A220</v>
          </cell>
          <cell r="E138">
            <v>0</v>
          </cell>
          <cell r="F138">
            <v>0</v>
          </cell>
          <cell r="G138">
            <v>25</v>
          </cell>
          <cell r="H138">
            <v>0</v>
          </cell>
          <cell r="I138">
            <v>4750</v>
          </cell>
          <cell r="J138">
            <v>0</v>
          </cell>
          <cell r="K138">
            <v>0</v>
          </cell>
          <cell r="L138" t="str">
            <v>JPY</v>
          </cell>
          <cell r="M138" t="str">
            <v>CMA</v>
          </cell>
          <cell r="N138">
            <v>0</v>
          </cell>
        </row>
        <row r="139">
          <cell r="A139">
            <v>101</v>
          </cell>
          <cell r="B139" t="str">
            <v>TP668</v>
          </cell>
          <cell r="C139" t="str">
            <v>0615-336-2C</v>
          </cell>
          <cell r="D139" t="str">
            <v>MOTOR HOUSING FOR A220</v>
          </cell>
          <cell r="E139">
            <v>0</v>
          </cell>
          <cell r="F139">
            <v>0</v>
          </cell>
          <cell r="G139">
            <v>25</v>
          </cell>
          <cell r="H139">
            <v>0</v>
          </cell>
          <cell r="I139">
            <v>4750</v>
          </cell>
          <cell r="J139">
            <v>0</v>
          </cell>
          <cell r="K139">
            <v>0</v>
          </cell>
          <cell r="L139" t="str">
            <v>JPY</v>
          </cell>
          <cell r="M139" t="str">
            <v>CMA</v>
          </cell>
          <cell r="N139">
            <v>0</v>
          </cell>
        </row>
        <row r="140">
          <cell r="A140">
            <v>102</v>
          </cell>
          <cell r="B140" t="str">
            <v>TP567</v>
          </cell>
          <cell r="C140" t="str">
            <v>0615-334-4C</v>
          </cell>
          <cell r="D140" t="str">
            <v>STOCK FOR A220</v>
          </cell>
          <cell r="E140" t="str">
            <v>Đầu bàn gá dao cho máy tiện A220</v>
          </cell>
          <cell r="F140">
            <v>0</v>
          </cell>
          <cell r="G140">
            <v>34</v>
          </cell>
          <cell r="H140">
            <v>0</v>
          </cell>
          <cell r="I140">
            <v>5508</v>
          </cell>
          <cell r="J140">
            <v>0</v>
          </cell>
          <cell r="K140">
            <v>0</v>
          </cell>
          <cell r="L140" t="str">
            <v>JPY</v>
          </cell>
          <cell r="M140" t="str">
            <v>CMA</v>
          </cell>
          <cell r="N140">
            <v>0</v>
          </cell>
        </row>
        <row r="141">
          <cell r="A141">
            <v>103</v>
          </cell>
          <cell r="B141" t="str">
            <v>TP678</v>
          </cell>
          <cell r="C141" t="str">
            <v>0615-334-4C</v>
          </cell>
          <cell r="D141" t="str">
            <v>STOCK FOR A220</v>
          </cell>
          <cell r="E141" t="str">
            <v>Đầu bàn gá dao cho máy tiện A220</v>
          </cell>
          <cell r="F141">
            <v>0</v>
          </cell>
          <cell r="G141">
            <v>34</v>
          </cell>
          <cell r="H141">
            <v>0</v>
          </cell>
          <cell r="I141">
            <v>5508</v>
          </cell>
          <cell r="J141">
            <v>0</v>
          </cell>
          <cell r="K141">
            <v>0</v>
          </cell>
          <cell r="L141" t="str">
            <v>JPY</v>
          </cell>
          <cell r="M141" t="str">
            <v>CMA</v>
          </cell>
          <cell r="N141">
            <v>0</v>
          </cell>
        </row>
        <row r="142">
          <cell r="A142">
            <v>104</v>
          </cell>
          <cell r="B142" t="str">
            <v>TP568</v>
          </cell>
          <cell r="C142" t="str">
            <v>0615-362-1C</v>
          </cell>
          <cell r="D142" t="str">
            <v>BACK STOCK FOR A220</v>
          </cell>
          <cell r="E142" t="str">
            <v>Bàn gá cho máy tiện A220</v>
          </cell>
          <cell r="F142">
            <v>0</v>
          </cell>
          <cell r="G142">
            <v>20</v>
          </cell>
          <cell r="H142">
            <v>0</v>
          </cell>
          <cell r="I142">
            <v>3564</v>
          </cell>
          <cell r="J142">
            <v>0</v>
          </cell>
          <cell r="K142">
            <v>0</v>
          </cell>
          <cell r="L142" t="str">
            <v>JPY</v>
          </cell>
          <cell r="M142" t="str">
            <v>CMA</v>
          </cell>
          <cell r="N142">
            <v>0</v>
          </cell>
        </row>
        <row r="143">
          <cell r="A143">
            <v>105</v>
          </cell>
          <cell r="B143" t="str">
            <v>TP665</v>
          </cell>
          <cell r="C143" t="str">
            <v>0615-362-1C</v>
          </cell>
          <cell r="D143" t="str">
            <v>BACK STOCK FOR A220</v>
          </cell>
          <cell r="E143" t="str">
            <v>Bàn gá cho máy tiện A220</v>
          </cell>
          <cell r="F143">
            <v>0</v>
          </cell>
          <cell r="G143">
            <v>20</v>
          </cell>
          <cell r="H143">
            <v>0</v>
          </cell>
          <cell r="I143">
            <v>3564</v>
          </cell>
          <cell r="J143">
            <v>0</v>
          </cell>
          <cell r="K143">
            <v>0</v>
          </cell>
          <cell r="L143" t="str">
            <v>JPY</v>
          </cell>
          <cell r="M143" t="str">
            <v>CMA</v>
          </cell>
          <cell r="N143">
            <v>0</v>
          </cell>
        </row>
        <row r="144">
          <cell r="A144">
            <v>106</v>
          </cell>
          <cell r="B144" t="str">
            <v>TP569</v>
          </cell>
          <cell r="C144" t="str">
            <v>616-302-1C</v>
          </cell>
          <cell r="D144" t="str">
            <v>CROSS SLIDE FOR A220</v>
          </cell>
          <cell r="E144" t="str">
            <v>Bàn trượt ngang cho máy tiện A220</v>
          </cell>
          <cell r="F144">
            <v>0</v>
          </cell>
          <cell r="G144">
            <v>35</v>
          </cell>
          <cell r="H144">
            <v>0</v>
          </cell>
          <cell r="I144">
            <v>5994</v>
          </cell>
          <cell r="J144">
            <v>0</v>
          </cell>
          <cell r="K144">
            <v>0</v>
          </cell>
          <cell r="L144" t="str">
            <v>JPY</v>
          </cell>
          <cell r="M144" t="str">
            <v>CMA</v>
          </cell>
          <cell r="N144">
            <v>0</v>
          </cell>
        </row>
        <row r="145">
          <cell r="A145">
            <v>107</v>
          </cell>
          <cell r="B145" t="str">
            <v>TP570</v>
          </cell>
          <cell r="C145" t="str">
            <v>0617-081 C</v>
          </cell>
          <cell r="D145" t="str">
            <v>TOOL STOCK BASE FOR A220</v>
          </cell>
          <cell r="E145" t="str">
            <v>Bệ đỡ bàn gá dao</v>
          </cell>
          <cell r="F145">
            <v>0</v>
          </cell>
          <cell r="G145">
            <v>122</v>
          </cell>
          <cell r="H145">
            <v>0</v>
          </cell>
          <cell r="I145">
            <v>21222</v>
          </cell>
          <cell r="J145">
            <v>0</v>
          </cell>
          <cell r="K145">
            <v>0</v>
          </cell>
          <cell r="L145" t="str">
            <v>JPY</v>
          </cell>
          <cell r="M145" t="str">
            <v>CMA</v>
          </cell>
          <cell r="N145">
            <v>0</v>
          </cell>
        </row>
        <row r="146">
          <cell r="A146">
            <v>108</v>
          </cell>
          <cell r="B146" t="str">
            <v>TP627</v>
          </cell>
          <cell r="C146" t="str">
            <v>0617-081 C</v>
          </cell>
          <cell r="D146" t="str">
            <v>TOOL STOCK BASE FOR A220</v>
          </cell>
          <cell r="E146" t="str">
            <v>Bệ đỡ bàn gá dao</v>
          </cell>
          <cell r="F146">
            <v>0</v>
          </cell>
          <cell r="G146">
            <v>122</v>
          </cell>
          <cell r="H146">
            <v>0</v>
          </cell>
          <cell r="I146">
            <v>21222</v>
          </cell>
          <cell r="J146">
            <v>0</v>
          </cell>
          <cell r="K146">
            <v>0</v>
          </cell>
          <cell r="L146" t="str">
            <v>JPY</v>
          </cell>
          <cell r="M146" t="str">
            <v>CMA</v>
          </cell>
          <cell r="N146">
            <v>0</v>
          </cell>
        </row>
        <row r="147">
          <cell r="A147">
            <v>109</v>
          </cell>
          <cell r="B147" t="str">
            <v>TP571</v>
          </cell>
          <cell r="C147" t="str">
            <v>616-255C</v>
          </cell>
          <cell r="D147" t="str">
            <v>HEAD STOCK B1216E</v>
          </cell>
          <cell r="E147" t="str">
            <v>Đầu bàn gá máy tiện B1216E</v>
          </cell>
          <cell r="F147">
            <v>0</v>
          </cell>
          <cell r="G147">
            <v>48</v>
          </cell>
          <cell r="H147">
            <v>0</v>
          </cell>
          <cell r="I147">
            <v>9552</v>
          </cell>
          <cell r="J147">
            <v>0</v>
          </cell>
          <cell r="K147">
            <v>0</v>
          </cell>
          <cell r="L147" t="str">
            <v>JPY</v>
          </cell>
          <cell r="M147" t="str">
            <v>CMA</v>
          </cell>
          <cell r="N147">
            <v>0</v>
          </cell>
        </row>
        <row r="148">
          <cell r="A148">
            <v>110</v>
          </cell>
          <cell r="B148" t="str">
            <v>TP544</v>
          </cell>
          <cell r="C148" t="str">
            <v>0618-084-1</v>
          </cell>
          <cell r="D148" t="str">
            <v>BED FOR L220E</v>
          </cell>
          <cell r="E148" t="str">
            <v>Đế máy tiện A232</v>
          </cell>
          <cell r="F148">
            <v>0</v>
          </cell>
          <cell r="G148">
            <v>1170</v>
          </cell>
          <cell r="H148">
            <v>0</v>
          </cell>
          <cell r="I148">
            <v>198900</v>
          </cell>
          <cell r="J148">
            <v>0</v>
          </cell>
          <cell r="K148">
            <v>0</v>
          </cell>
          <cell r="L148" t="str">
            <v>JPY</v>
          </cell>
          <cell r="M148" t="str">
            <v>CMA</v>
          </cell>
          <cell r="N148">
            <v>0</v>
          </cell>
        </row>
        <row r="149">
          <cell r="A149">
            <v>111</v>
          </cell>
          <cell r="B149" t="str">
            <v>TP615</v>
          </cell>
          <cell r="C149" t="str">
            <v>0618-084-1</v>
          </cell>
          <cell r="D149" t="str">
            <v>BED FOR L220E</v>
          </cell>
          <cell r="E149" t="str">
            <v>Đế máy tiện A232</v>
          </cell>
          <cell r="F149">
            <v>0</v>
          </cell>
          <cell r="G149">
            <v>1170</v>
          </cell>
          <cell r="H149">
            <v>0</v>
          </cell>
          <cell r="I149">
            <v>198900</v>
          </cell>
          <cell r="J149">
            <v>0</v>
          </cell>
          <cell r="K149">
            <v>0</v>
          </cell>
          <cell r="L149" t="str">
            <v>JPY</v>
          </cell>
          <cell r="M149" t="str">
            <v>CMA</v>
          </cell>
          <cell r="N149">
            <v>0</v>
          </cell>
        </row>
        <row r="150">
          <cell r="A150">
            <v>112</v>
          </cell>
          <cell r="B150" t="str">
            <v>TP769</v>
          </cell>
          <cell r="C150" t="str">
            <v>0618-084-1</v>
          </cell>
          <cell r="D150" t="str">
            <v>BED FOR L220E</v>
          </cell>
          <cell r="E150" t="str">
            <v>Đế máy tiện A232</v>
          </cell>
          <cell r="F150">
            <v>0</v>
          </cell>
          <cell r="G150">
            <v>1170</v>
          </cell>
          <cell r="H150">
            <v>0</v>
          </cell>
          <cell r="I150">
            <v>198900</v>
          </cell>
          <cell r="J150">
            <v>0</v>
          </cell>
          <cell r="K150">
            <v>0</v>
          </cell>
          <cell r="L150" t="str">
            <v>JPY</v>
          </cell>
          <cell r="M150" t="str">
            <v>CMA</v>
          </cell>
          <cell r="N150">
            <v>0</v>
          </cell>
        </row>
        <row r="151">
          <cell r="A151">
            <v>113</v>
          </cell>
          <cell r="B151" t="str">
            <v>SPCNC236</v>
          </cell>
          <cell r="C151" t="str">
            <v>618-084-6</v>
          </cell>
          <cell r="D151" t="str">
            <v>BED FOR L220E</v>
          </cell>
          <cell r="E151" t="str">
            <v>Đế máy tiện A232</v>
          </cell>
          <cell r="F151">
            <v>0</v>
          </cell>
          <cell r="G151">
            <v>1170</v>
          </cell>
          <cell r="H151">
            <v>13</v>
          </cell>
          <cell r="I151">
            <v>303290</v>
          </cell>
          <cell r="J151">
            <v>0</v>
          </cell>
          <cell r="K151">
            <v>0</v>
          </cell>
          <cell r="L151" t="str">
            <v>JPY</v>
          </cell>
          <cell r="M151" t="str">
            <v>CMA</v>
          </cell>
          <cell r="N151">
            <v>0</v>
          </cell>
        </row>
        <row r="152">
          <cell r="A152">
            <v>114</v>
          </cell>
          <cell r="B152" t="str">
            <v>TP397</v>
          </cell>
          <cell r="C152" t="str">
            <v>0616-402</v>
          </cell>
          <cell r="D152" t="str">
            <v>HEAD STOCK</v>
          </cell>
          <cell r="E152" t="str">
            <v>Đầu bàn gá máy tiện L220E</v>
          </cell>
          <cell r="F152">
            <v>0</v>
          </cell>
          <cell r="G152">
            <v>45</v>
          </cell>
          <cell r="H152">
            <v>0</v>
          </cell>
          <cell r="I152">
            <v>8100</v>
          </cell>
          <cell r="J152">
            <v>0</v>
          </cell>
          <cell r="K152">
            <v>0</v>
          </cell>
          <cell r="L152" t="str">
            <v>JPY</v>
          </cell>
          <cell r="M152" t="str">
            <v>CMA</v>
          </cell>
          <cell r="N152">
            <v>0</v>
          </cell>
        </row>
        <row r="153">
          <cell r="A153">
            <v>115</v>
          </cell>
          <cell r="B153" t="str">
            <v>TP564</v>
          </cell>
          <cell r="C153" t="str">
            <v>0617-117C</v>
          </cell>
          <cell r="D153" t="str">
            <v>TOOL POST</v>
          </cell>
          <cell r="E153">
            <v>0</v>
          </cell>
          <cell r="F153">
            <v>0</v>
          </cell>
          <cell r="G153">
            <v>144</v>
          </cell>
          <cell r="H153">
            <v>0</v>
          </cell>
          <cell r="I153">
            <v>25375</v>
          </cell>
          <cell r="J153">
            <v>0</v>
          </cell>
          <cell r="K153">
            <v>0</v>
          </cell>
          <cell r="L153" t="str">
            <v>JPY</v>
          </cell>
          <cell r="M153" t="str">
            <v>CMA</v>
          </cell>
          <cell r="N153">
            <v>0</v>
          </cell>
        </row>
        <row r="154">
          <cell r="A154">
            <v>116</v>
          </cell>
          <cell r="B154" t="str">
            <v>TP670</v>
          </cell>
          <cell r="C154" t="str">
            <v>0617-117C</v>
          </cell>
          <cell r="D154" t="str">
            <v>TOOL POST</v>
          </cell>
          <cell r="E154">
            <v>0</v>
          </cell>
          <cell r="F154">
            <v>0</v>
          </cell>
          <cell r="G154">
            <v>144</v>
          </cell>
          <cell r="H154">
            <v>0</v>
          </cell>
          <cell r="I154">
            <v>25375</v>
          </cell>
          <cell r="J154">
            <v>0</v>
          </cell>
          <cell r="K154">
            <v>0</v>
          </cell>
          <cell r="L154" t="str">
            <v>JPY</v>
          </cell>
          <cell r="M154" t="str">
            <v>CMA</v>
          </cell>
          <cell r="N154">
            <v>0</v>
          </cell>
        </row>
        <row r="155">
          <cell r="A155">
            <v>117</v>
          </cell>
          <cell r="B155" t="str">
            <v>SPCNC237</v>
          </cell>
          <cell r="C155" t="str">
            <v>617-117-10A</v>
          </cell>
          <cell r="D155" t="str">
            <v>TOOL POST</v>
          </cell>
          <cell r="E155">
            <v>0</v>
          </cell>
          <cell r="F155">
            <v>0</v>
          </cell>
          <cell r="G155">
            <v>144</v>
          </cell>
          <cell r="H155">
            <v>6</v>
          </cell>
          <cell r="I155">
            <v>67375</v>
          </cell>
          <cell r="J155">
            <v>0</v>
          </cell>
          <cell r="K155">
            <v>0</v>
          </cell>
          <cell r="L155" t="str">
            <v>JPY</v>
          </cell>
          <cell r="M155" t="str">
            <v>CMA</v>
          </cell>
          <cell r="N155">
            <v>0</v>
          </cell>
        </row>
        <row r="156">
          <cell r="A156">
            <v>118</v>
          </cell>
          <cell r="B156" t="str">
            <v>TP721</v>
          </cell>
          <cell r="C156" t="str">
            <v>0617-116C</v>
          </cell>
          <cell r="D156" t="str">
            <v>CROSS SLIDE</v>
          </cell>
          <cell r="E156">
            <v>0</v>
          </cell>
          <cell r="F156">
            <v>0</v>
          </cell>
          <cell r="G156">
            <v>46</v>
          </cell>
          <cell r="H156">
            <v>0</v>
          </cell>
          <cell r="I156">
            <v>8640</v>
          </cell>
          <cell r="J156">
            <v>0</v>
          </cell>
          <cell r="K156">
            <v>0</v>
          </cell>
          <cell r="L156" t="str">
            <v>JPY</v>
          </cell>
          <cell r="M156" t="str">
            <v>CMA</v>
          </cell>
          <cell r="N156">
            <v>0</v>
          </cell>
        </row>
        <row r="157">
          <cell r="A157">
            <v>119</v>
          </cell>
          <cell r="B157" t="str">
            <v>TP566</v>
          </cell>
          <cell r="C157" t="str">
            <v>0616-354-2C</v>
          </cell>
          <cell r="D157" t="str">
            <v>Y SLIDE BASE</v>
          </cell>
          <cell r="E157">
            <v>0</v>
          </cell>
          <cell r="F157">
            <v>0</v>
          </cell>
          <cell r="G157">
            <v>35</v>
          </cell>
          <cell r="H157">
            <v>0</v>
          </cell>
          <cell r="I157">
            <v>7000</v>
          </cell>
          <cell r="J157">
            <v>0</v>
          </cell>
          <cell r="K157">
            <v>0</v>
          </cell>
          <cell r="L157" t="str">
            <v>JPY</v>
          </cell>
          <cell r="M157" t="str">
            <v>CMA</v>
          </cell>
          <cell r="N157">
            <v>0</v>
          </cell>
        </row>
        <row r="158">
          <cell r="A158">
            <v>120</v>
          </cell>
          <cell r="B158" t="str">
            <v>TP580</v>
          </cell>
          <cell r="C158" t="str">
            <v>615-313C</v>
          </cell>
          <cell r="D158" t="str">
            <v>Z SLIDE</v>
          </cell>
          <cell r="E158" t="str">
            <v>Bàn trượt Z</v>
          </cell>
          <cell r="F158">
            <v>0</v>
          </cell>
          <cell r="G158">
            <v>24</v>
          </cell>
          <cell r="H158">
            <v>0</v>
          </cell>
          <cell r="I158">
            <v>4440</v>
          </cell>
          <cell r="J158">
            <v>0</v>
          </cell>
          <cell r="K158">
            <v>0</v>
          </cell>
          <cell r="L158" t="str">
            <v>JPY</v>
          </cell>
          <cell r="M158" t="str">
            <v>CMA</v>
          </cell>
          <cell r="N158">
            <v>0</v>
          </cell>
        </row>
        <row r="159">
          <cell r="A159">
            <v>121</v>
          </cell>
          <cell r="B159" t="str">
            <v>TP581</v>
          </cell>
          <cell r="C159" t="str">
            <v>615-208-1C</v>
          </cell>
          <cell r="D159" t="str">
            <v>BACK HEAD STOCK L20</v>
          </cell>
          <cell r="E159" t="str">
            <v>Bàn trượt đế máy tiện L20</v>
          </cell>
          <cell r="F159">
            <v>0</v>
          </cell>
          <cell r="G159">
            <v>20</v>
          </cell>
          <cell r="H159">
            <v>0</v>
          </cell>
          <cell r="I159">
            <v>3980</v>
          </cell>
          <cell r="J159">
            <v>0</v>
          </cell>
          <cell r="K159">
            <v>0</v>
          </cell>
          <cell r="L159" t="str">
            <v>JPY</v>
          </cell>
          <cell r="M159" t="str">
            <v>CMA</v>
          </cell>
          <cell r="N159">
            <v>0</v>
          </cell>
        </row>
        <row r="160">
          <cell r="A160">
            <v>122</v>
          </cell>
          <cell r="B160" t="str">
            <v>TP378</v>
          </cell>
          <cell r="C160" t="str">
            <v>615-407-1C</v>
          </cell>
          <cell r="D160" t="str">
            <v>X SLIDE FOR L20E</v>
          </cell>
          <cell r="E160" t="str">
            <v>Bàn trượt X cho máy tiện L20E</v>
          </cell>
          <cell r="F160">
            <v>0</v>
          </cell>
          <cell r="G160">
            <v>16</v>
          </cell>
          <cell r="H160">
            <v>0</v>
          </cell>
          <cell r="I160">
            <v>2960</v>
          </cell>
          <cell r="J160">
            <v>0</v>
          </cell>
          <cell r="K160">
            <v>0</v>
          </cell>
          <cell r="L160" t="str">
            <v>JPY</v>
          </cell>
          <cell r="M160" t="str">
            <v>CMA</v>
          </cell>
          <cell r="N160">
            <v>0</v>
          </cell>
        </row>
        <row r="161">
          <cell r="A161">
            <v>123</v>
          </cell>
          <cell r="B161" t="str">
            <v>TP582</v>
          </cell>
          <cell r="C161" t="str">
            <v>615-407-1C</v>
          </cell>
          <cell r="D161" t="str">
            <v>X SLIDE FOR L20E</v>
          </cell>
          <cell r="E161" t="str">
            <v>Bàn trượt X cho máy tiện L20E</v>
          </cell>
          <cell r="F161">
            <v>0</v>
          </cell>
          <cell r="G161">
            <v>16</v>
          </cell>
          <cell r="H161">
            <v>0</v>
          </cell>
          <cell r="I161">
            <v>2960</v>
          </cell>
          <cell r="J161">
            <v>0</v>
          </cell>
          <cell r="K161">
            <v>0</v>
          </cell>
          <cell r="L161" t="str">
            <v>JPY</v>
          </cell>
          <cell r="M161" t="str">
            <v>CMA</v>
          </cell>
          <cell r="N161">
            <v>0</v>
          </cell>
        </row>
        <row r="162">
          <cell r="A162">
            <v>124</v>
          </cell>
          <cell r="B162" t="str">
            <v>TP583</v>
          </cell>
          <cell r="C162" t="str">
            <v>615-408C</v>
          </cell>
          <cell r="D162" t="str">
            <v>BACK HEAD STOCK L20</v>
          </cell>
          <cell r="E162" t="str">
            <v>Bàn trượt đế máy tiện L20</v>
          </cell>
          <cell r="F162">
            <v>0</v>
          </cell>
          <cell r="G162">
            <v>9.5</v>
          </cell>
          <cell r="H162">
            <v>0</v>
          </cell>
          <cell r="I162">
            <v>1853</v>
          </cell>
          <cell r="J162">
            <v>0</v>
          </cell>
          <cell r="K162">
            <v>0</v>
          </cell>
          <cell r="L162" t="str">
            <v>JPY</v>
          </cell>
          <cell r="M162" t="str">
            <v>CMA</v>
          </cell>
          <cell r="N162">
            <v>0</v>
          </cell>
        </row>
        <row r="163">
          <cell r="A163">
            <v>125</v>
          </cell>
          <cell r="B163" t="str">
            <v>TP713</v>
          </cell>
          <cell r="C163" t="str">
            <v>615-408C</v>
          </cell>
          <cell r="D163" t="str">
            <v>BACK HEAD STOCK L20</v>
          </cell>
          <cell r="E163" t="str">
            <v>Bàn trượt đế máy tiện L20</v>
          </cell>
          <cell r="F163">
            <v>0</v>
          </cell>
          <cell r="G163">
            <v>9.5</v>
          </cell>
          <cell r="H163">
            <v>0</v>
          </cell>
          <cell r="I163">
            <v>1853</v>
          </cell>
          <cell r="J163">
            <v>0</v>
          </cell>
          <cell r="K163">
            <v>0</v>
          </cell>
          <cell r="L163" t="str">
            <v>JPY</v>
          </cell>
          <cell r="M163" t="str">
            <v>CMA</v>
          </cell>
          <cell r="N163">
            <v>0</v>
          </cell>
        </row>
        <row r="164">
          <cell r="A164">
            <v>126</v>
          </cell>
          <cell r="B164" t="str">
            <v>TP584</v>
          </cell>
          <cell r="C164" t="str">
            <v>0617-057-3C</v>
          </cell>
          <cell r="D164" t="str">
            <v>GUIDE BUSH</v>
          </cell>
          <cell r="E164" t="str">
            <v>Miếng đệm</v>
          </cell>
          <cell r="F164">
            <v>0</v>
          </cell>
          <cell r="G164">
            <v>17.5</v>
          </cell>
          <cell r="H164">
            <v>0</v>
          </cell>
          <cell r="I164">
            <v>3238</v>
          </cell>
          <cell r="J164">
            <v>0</v>
          </cell>
          <cell r="K164">
            <v>0</v>
          </cell>
          <cell r="L164" t="str">
            <v>JPY</v>
          </cell>
          <cell r="M164" t="str">
            <v>CMA</v>
          </cell>
          <cell r="N164">
            <v>0</v>
          </cell>
        </row>
        <row r="165">
          <cell r="A165">
            <v>127</v>
          </cell>
          <cell r="B165" t="str">
            <v>SPCNC194</v>
          </cell>
          <cell r="C165" t="str">
            <v>YS3010-02-001</v>
          </cell>
          <cell r="D165" t="str">
            <v>SUBPALLET1200</v>
          </cell>
          <cell r="E165">
            <v>0</v>
          </cell>
          <cell r="F165">
            <v>0</v>
          </cell>
          <cell r="G165">
            <v>550</v>
          </cell>
          <cell r="H165">
            <v>10</v>
          </cell>
          <cell r="I165">
            <v>176692</v>
          </cell>
          <cell r="J165">
            <v>0</v>
          </cell>
          <cell r="K165">
            <v>0</v>
          </cell>
          <cell r="L165" t="str">
            <v>JPY</v>
          </cell>
          <cell r="M165" t="str">
            <v>CMA</v>
          </cell>
          <cell r="N165">
            <v>0</v>
          </cell>
        </row>
        <row r="166">
          <cell r="A166">
            <v>128</v>
          </cell>
          <cell r="B166" t="str">
            <v>TP541</v>
          </cell>
          <cell r="C166" t="str">
            <v>0615-468-2C</v>
          </cell>
          <cell r="D166" t="str">
            <v>HEAD STOCK FOR L12</v>
          </cell>
          <cell r="E166" t="str">
            <v>Đầu bàn gá máy tiện L12</v>
          </cell>
          <cell r="F166">
            <v>0</v>
          </cell>
          <cell r="G166">
            <v>37.5</v>
          </cell>
          <cell r="H166">
            <v>0</v>
          </cell>
          <cell r="I166">
            <v>6825</v>
          </cell>
          <cell r="J166">
            <v>0</v>
          </cell>
          <cell r="K166">
            <v>0</v>
          </cell>
          <cell r="L166" t="str">
            <v>JPY</v>
          </cell>
          <cell r="M166" t="str">
            <v>CMA</v>
          </cell>
          <cell r="N166">
            <v>0</v>
          </cell>
        </row>
        <row r="167">
          <cell r="A167">
            <v>129</v>
          </cell>
          <cell r="B167" t="str">
            <v>TP687</v>
          </cell>
          <cell r="C167" t="str">
            <v>0615-468-2C</v>
          </cell>
          <cell r="D167" t="str">
            <v>HEAD STOCK FOR L12</v>
          </cell>
          <cell r="E167" t="str">
            <v>Đầu bàn gá máy tiện L12</v>
          </cell>
          <cell r="F167">
            <v>0</v>
          </cell>
          <cell r="G167">
            <v>37.5</v>
          </cell>
          <cell r="H167">
            <v>0</v>
          </cell>
          <cell r="I167">
            <v>6825</v>
          </cell>
          <cell r="J167">
            <v>0</v>
          </cell>
          <cell r="K167">
            <v>0</v>
          </cell>
          <cell r="L167" t="str">
            <v>JPY</v>
          </cell>
          <cell r="M167" t="str">
            <v>CMA</v>
          </cell>
          <cell r="N167">
            <v>0</v>
          </cell>
        </row>
        <row r="168">
          <cell r="A168">
            <v>130</v>
          </cell>
          <cell r="B168" t="str">
            <v>TP590</v>
          </cell>
          <cell r="C168" t="str">
            <v>0615-511C</v>
          </cell>
          <cell r="D168" t="str">
            <v>Y2 SLIDE BASE FOR L220E</v>
          </cell>
          <cell r="E168" t="str">
            <v xml:space="preserve"> §Çu bµn g¸ m¸y tiÖn L220E@0615-511        Head stock for L220E</v>
          </cell>
          <cell r="F168">
            <v>0</v>
          </cell>
          <cell r="G168">
            <v>36</v>
          </cell>
          <cell r="H168">
            <v>0</v>
          </cell>
          <cell r="I168">
            <v>7200</v>
          </cell>
          <cell r="J168">
            <v>0</v>
          </cell>
          <cell r="K168">
            <v>0</v>
          </cell>
          <cell r="L168" t="str">
            <v>JPY</v>
          </cell>
          <cell r="M168" t="str">
            <v>CMA</v>
          </cell>
          <cell r="N168">
            <v>0</v>
          </cell>
        </row>
        <row r="169">
          <cell r="A169">
            <v>131</v>
          </cell>
          <cell r="B169" t="str">
            <v>TP591</v>
          </cell>
          <cell r="C169" t="str">
            <v>0616-413C</v>
          </cell>
          <cell r="D169" t="str">
            <v>TOOL POST FOR L220E</v>
          </cell>
          <cell r="E169" t="str">
            <v xml:space="preserve"> §Çu bµn g¸ m¸y tiÖn L220E@0616-413        Head stock for L220E</v>
          </cell>
          <cell r="F169">
            <v>0</v>
          </cell>
          <cell r="G169">
            <v>43</v>
          </cell>
          <cell r="H169">
            <v>0</v>
          </cell>
          <cell r="I169">
            <v>7955</v>
          </cell>
          <cell r="J169">
            <v>0</v>
          </cell>
          <cell r="K169">
            <v>0</v>
          </cell>
          <cell r="L169" t="str">
            <v>JPY</v>
          </cell>
          <cell r="M169" t="str">
            <v>CMA</v>
          </cell>
          <cell r="N169">
            <v>0</v>
          </cell>
        </row>
        <row r="170">
          <cell r="A170">
            <v>132</v>
          </cell>
          <cell r="B170" t="str">
            <v>TP625</v>
          </cell>
          <cell r="C170" t="str">
            <v>0616-413C</v>
          </cell>
          <cell r="D170" t="str">
            <v>TOOL POST FOR L220E</v>
          </cell>
          <cell r="E170" t="str">
            <v xml:space="preserve"> §Çu bµn g¸ m¸y tiÖn L220E@0616-413        Head stock for L220E</v>
          </cell>
          <cell r="F170">
            <v>0</v>
          </cell>
          <cell r="G170">
            <v>43</v>
          </cell>
          <cell r="H170">
            <v>0</v>
          </cell>
          <cell r="I170">
            <v>7955</v>
          </cell>
          <cell r="J170">
            <v>0</v>
          </cell>
          <cell r="K170">
            <v>0</v>
          </cell>
          <cell r="L170" t="str">
            <v>JPY</v>
          </cell>
          <cell r="M170" t="str">
            <v>CMA</v>
          </cell>
          <cell r="N170">
            <v>0</v>
          </cell>
        </row>
        <row r="171">
          <cell r="A171">
            <v>133</v>
          </cell>
          <cell r="B171" t="str">
            <v>SPCNC253</v>
          </cell>
          <cell r="C171" t="str">
            <v>616-413-2A</v>
          </cell>
          <cell r="D171" t="str">
            <v>TOOL POST FOR L220E</v>
          </cell>
          <cell r="E171">
            <v>0</v>
          </cell>
          <cell r="F171">
            <v>0</v>
          </cell>
          <cell r="G171">
            <v>43</v>
          </cell>
          <cell r="H171">
            <v>4</v>
          </cell>
          <cell r="I171">
            <v>19955</v>
          </cell>
          <cell r="J171">
            <v>0</v>
          </cell>
          <cell r="K171">
            <v>0</v>
          </cell>
          <cell r="L171" t="str">
            <v>JPY</v>
          </cell>
          <cell r="M171" t="str">
            <v>CMA</v>
          </cell>
          <cell r="N171">
            <v>0</v>
          </cell>
        </row>
        <row r="172">
          <cell r="A172">
            <v>134</v>
          </cell>
          <cell r="B172" t="str">
            <v>TP592</v>
          </cell>
          <cell r="C172" t="str">
            <v>0615-478C</v>
          </cell>
          <cell r="D172" t="str">
            <v>CROSS SLIDE FOR L220E</v>
          </cell>
          <cell r="E172" t="str">
            <v xml:space="preserve">  Bµn tr­ît Z2 cho m¸y tiÖn L220E@0615-478        Z2 slide for L220E</v>
          </cell>
          <cell r="F172">
            <v>0</v>
          </cell>
          <cell r="G172">
            <v>30</v>
          </cell>
          <cell r="H172">
            <v>0</v>
          </cell>
          <cell r="I172">
            <v>5550</v>
          </cell>
          <cell r="J172">
            <v>0</v>
          </cell>
          <cell r="K172">
            <v>0</v>
          </cell>
          <cell r="L172" t="str">
            <v>JPY</v>
          </cell>
          <cell r="M172" t="str">
            <v>CMA</v>
          </cell>
          <cell r="N172">
            <v>0</v>
          </cell>
        </row>
        <row r="173">
          <cell r="A173">
            <v>135</v>
          </cell>
          <cell r="B173" t="str">
            <v>TP723</v>
          </cell>
          <cell r="C173" t="str">
            <v>0615-478C</v>
          </cell>
          <cell r="D173" t="str">
            <v>CROSS SLIDE FOR L220E</v>
          </cell>
          <cell r="E173" t="str">
            <v xml:space="preserve">  Bµn tr­ît Z2 cho m¸y tiÖn L220E@0615-478        Z2 slide for L220E</v>
          </cell>
          <cell r="F173">
            <v>0</v>
          </cell>
          <cell r="G173">
            <v>30</v>
          </cell>
          <cell r="H173">
            <v>0</v>
          </cell>
          <cell r="I173">
            <v>5550</v>
          </cell>
          <cell r="J173">
            <v>0</v>
          </cell>
          <cell r="K173">
            <v>0</v>
          </cell>
          <cell r="L173" t="str">
            <v>JPY</v>
          </cell>
          <cell r="M173" t="str">
            <v>CMA</v>
          </cell>
          <cell r="N173">
            <v>0</v>
          </cell>
        </row>
        <row r="174">
          <cell r="A174">
            <v>136</v>
          </cell>
          <cell r="B174" t="str">
            <v>TP594</v>
          </cell>
          <cell r="C174" t="str">
            <v>0614-291C</v>
          </cell>
          <cell r="D174" t="str">
            <v>BASE L220E</v>
          </cell>
          <cell r="E174" t="str">
            <v xml:space="preserve">  BÖ ®ì cho m¸y tiÖn L220E@0614-291      Base for L200E</v>
          </cell>
          <cell r="F174">
            <v>0</v>
          </cell>
          <cell r="G174">
            <v>7</v>
          </cell>
          <cell r="H174">
            <v>0</v>
          </cell>
          <cell r="I174">
            <v>1365</v>
          </cell>
          <cell r="J174">
            <v>0</v>
          </cell>
          <cell r="K174">
            <v>0</v>
          </cell>
          <cell r="L174" t="str">
            <v>JPY</v>
          </cell>
          <cell r="M174" t="str">
            <v>CMA</v>
          </cell>
          <cell r="N174">
            <v>0</v>
          </cell>
        </row>
        <row r="175">
          <cell r="A175">
            <v>137</v>
          </cell>
          <cell r="B175" t="str">
            <v>TP702</v>
          </cell>
          <cell r="C175" t="str">
            <v>0614-291C</v>
          </cell>
          <cell r="D175" t="str">
            <v>BASE L220E</v>
          </cell>
          <cell r="E175" t="str">
            <v xml:space="preserve"> BÖ ®ì cho m¸y tiÖn L220E            @0614-291      Base for L200E</v>
          </cell>
          <cell r="F175">
            <v>0</v>
          </cell>
          <cell r="G175">
            <v>7</v>
          </cell>
          <cell r="H175">
            <v>0</v>
          </cell>
          <cell r="I175">
            <v>1365</v>
          </cell>
          <cell r="J175">
            <v>0</v>
          </cell>
          <cell r="K175">
            <v>0</v>
          </cell>
          <cell r="L175" t="str">
            <v>JPY</v>
          </cell>
          <cell r="M175" t="str">
            <v>CMA</v>
          </cell>
          <cell r="N175">
            <v>0</v>
          </cell>
        </row>
        <row r="176">
          <cell r="A176">
            <v>138</v>
          </cell>
          <cell r="B176" t="str">
            <v>TP595</v>
          </cell>
          <cell r="C176" t="str">
            <v>0615-486C</v>
          </cell>
          <cell r="D176" t="str">
            <v>X SLIDE L220E</v>
          </cell>
          <cell r="E176" t="str">
            <v xml:space="preserve"> Bµn tr­ît X cho m¸y tiÖn L220E@0615-486       X slide for L220E</v>
          </cell>
          <cell r="F176">
            <v>0</v>
          </cell>
          <cell r="G176">
            <v>16</v>
          </cell>
          <cell r="H176">
            <v>0</v>
          </cell>
          <cell r="I176">
            <v>2960</v>
          </cell>
          <cell r="J176">
            <v>0</v>
          </cell>
          <cell r="K176">
            <v>0</v>
          </cell>
          <cell r="L176" t="str">
            <v>JPY</v>
          </cell>
          <cell r="M176" t="str">
            <v>CMA</v>
          </cell>
          <cell r="N176">
            <v>0</v>
          </cell>
        </row>
        <row r="177">
          <cell r="A177">
            <v>139</v>
          </cell>
          <cell r="B177" t="str">
            <v>TP686</v>
          </cell>
          <cell r="C177" t="str">
            <v>0615-486C</v>
          </cell>
          <cell r="D177" t="str">
            <v>X SLIDE L220E</v>
          </cell>
          <cell r="E177" t="str">
            <v xml:space="preserve"> Bµn tr­ît X cho m¸y tiÖn L220E@615-486  X Slide for L220E</v>
          </cell>
          <cell r="F177">
            <v>0</v>
          </cell>
          <cell r="G177">
            <v>16</v>
          </cell>
          <cell r="H177">
            <v>0</v>
          </cell>
          <cell r="I177">
            <v>2960</v>
          </cell>
          <cell r="J177">
            <v>0</v>
          </cell>
          <cell r="K177">
            <v>0</v>
          </cell>
          <cell r="L177" t="str">
            <v>JPY</v>
          </cell>
          <cell r="M177" t="str">
            <v>CMA</v>
          </cell>
          <cell r="N177">
            <v>0</v>
          </cell>
        </row>
        <row r="178">
          <cell r="A178">
            <v>140</v>
          </cell>
          <cell r="B178" t="str">
            <v>TP596</v>
          </cell>
          <cell r="C178" t="str">
            <v>0617-118-1C</v>
          </cell>
          <cell r="D178" t="str">
            <v>Y2 SLIDE BASE FOR L220E</v>
          </cell>
          <cell r="E178" t="str">
            <v xml:space="preserve"> Bµn tr­ît ngang cho m¸y tiÖn L220E@0617-118-1   Cross slide for L220E</v>
          </cell>
          <cell r="F178">
            <v>0</v>
          </cell>
          <cell r="G178">
            <v>37</v>
          </cell>
          <cell r="H178">
            <v>0</v>
          </cell>
          <cell r="I178">
            <v>6840</v>
          </cell>
          <cell r="J178">
            <v>0</v>
          </cell>
          <cell r="K178">
            <v>0</v>
          </cell>
          <cell r="L178" t="str">
            <v>JPY</v>
          </cell>
          <cell r="M178" t="str">
            <v>CMA</v>
          </cell>
          <cell r="N178">
            <v>0</v>
          </cell>
        </row>
        <row r="179">
          <cell r="A179">
            <v>141</v>
          </cell>
          <cell r="B179" t="str">
            <v>TP722</v>
          </cell>
          <cell r="C179" t="str">
            <v>0617-118-1C</v>
          </cell>
          <cell r="D179" t="str">
            <v>Y2 SLIDE BASE FOR L220E</v>
          </cell>
          <cell r="E179" t="str">
            <v xml:space="preserve"> Bµn tr­ît ngang cho m¸y tiÖn L220E@0617-118-1   Cross slide for L220E</v>
          </cell>
          <cell r="F179">
            <v>0</v>
          </cell>
          <cell r="G179">
            <v>37</v>
          </cell>
          <cell r="H179">
            <v>0</v>
          </cell>
          <cell r="I179">
            <v>6840</v>
          </cell>
          <cell r="J179">
            <v>0</v>
          </cell>
          <cell r="K179">
            <v>0</v>
          </cell>
          <cell r="L179" t="str">
            <v>JPY</v>
          </cell>
          <cell r="M179" t="str">
            <v>CMA</v>
          </cell>
          <cell r="N179">
            <v>0</v>
          </cell>
        </row>
        <row r="180">
          <cell r="A180">
            <v>142</v>
          </cell>
          <cell r="B180" t="str">
            <v>SPCNC252</v>
          </cell>
          <cell r="C180" t="str">
            <v>617-118-4A</v>
          </cell>
          <cell r="D180" t="str">
            <v>Y2 SLIDE BASE FOR L220E</v>
          </cell>
          <cell r="E180">
            <v>0</v>
          </cell>
          <cell r="F180">
            <v>0</v>
          </cell>
          <cell r="G180">
            <v>37</v>
          </cell>
          <cell r="H180">
            <v>4.5</v>
          </cell>
          <cell r="I180">
            <v>22840</v>
          </cell>
          <cell r="J180">
            <v>0</v>
          </cell>
          <cell r="K180">
            <v>0</v>
          </cell>
          <cell r="L180" t="str">
            <v>JPY</v>
          </cell>
          <cell r="M180" t="str">
            <v>CMA</v>
          </cell>
          <cell r="N180">
            <v>0</v>
          </cell>
        </row>
        <row r="181">
          <cell r="A181">
            <v>143</v>
          </cell>
          <cell r="B181" t="str">
            <v>TP585</v>
          </cell>
          <cell r="C181" t="str">
            <v>0615-452-1</v>
          </cell>
          <cell r="D181" t="str">
            <v>BACK SPINDLE HEAD STOCK</v>
          </cell>
          <cell r="E181" t="str">
            <v>Trôc m¸y tiÖn A232@0615-452-1      Back spindle head stock</v>
          </cell>
          <cell r="F181">
            <v>0</v>
          </cell>
          <cell r="G181">
            <v>27</v>
          </cell>
          <cell r="H181">
            <v>0</v>
          </cell>
          <cell r="I181">
            <v>5130</v>
          </cell>
          <cell r="J181">
            <v>0</v>
          </cell>
          <cell r="K181">
            <v>0</v>
          </cell>
          <cell r="L181" t="str">
            <v>JPY</v>
          </cell>
          <cell r="M181" t="str">
            <v>CMA</v>
          </cell>
          <cell r="N181">
            <v>0</v>
          </cell>
        </row>
        <row r="182">
          <cell r="A182">
            <v>144</v>
          </cell>
          <cell r="B182" t="str">
            <v>SPCNC206</v>
          </cell>
          <cell r="C182" t="str">
            <v>KE002-007</v>
          </cell>
          <cell r="D182" t="str">
            <v>JIG 60N</v>
          </cell>
          <cell r="E182" t="str">
            <v>Đồ ga</v>
          </cell>
          <cell r="F182">
            <v>0</v>
          </cell>
          <cell r="G182">
            <v>214</v>
          </cell>
          <cell r="H182">
            <v>4.5</v>
          </cell>
          <cell r="I182">
            <v>78000</v>
          </cell>
          <cell r="J182">
            <v>0</v>
          </cell>
          <cell r="K182">
            <v>0</v>
          </cell>
          <cell r="L182" t="str">
            <v>JPY</v>
          </cell>
          <cell r="M182" t="str">
            <v>CMA</v>
          </cell>
          <cell r="N182">
            <v>0</v>
          </cell>
        </row>
        <row r="183">
          <cell r="A183">
            <v>145</v>
          </cell>
          <cell r="B183" t="str">
            <v>SPCNC207</v>
          </cell>
          <cell r="C183" t="str">
            <v>KE002-002</v>
          </cell>
          <cell r="D183" t="str">
            <v>JIG 80N</v>
          </cell>
          <cell r="E183" t="str">
            <v>Đồ ga</v>
          </cell>
          <cell r="F183">
            <v>0</v>
          </cell>
          <cell r="G183">
            <v>414</v>
          </cell>
          <cell r="H183">
            <v>8.5</v>
          </cell>
          <cell r="I183">
            <v>122000</v>
          </cell>
          <cell r="J183">
            <v>0</v>
          </cell>
          <cell r="K183">
            <v>0</v>
          </cell>
          <cell r="L183" t="str">
            <v>JPY</v>
          </cell>
          <cell r="M183" t="str">
            <v>CMA</v>
          </cell>
          <cell r="N183">
            <v>0</v>
          </cell>
        </row>
        <row r="184">
          <cell r="A184">
            <v>146</v>
          </cell>
          <cell r="B184" t="str">
            <v>SPCNC257</v>
          </cell>
          <cell r="C184" t="str">
            <v>618-076-10</v>
          </cell>
          <cell r="D184" t="str">
            <v>BED FOR K1216E</v>
          </cell>
          <cell r="E184">
            <v>0</v>
          </cell>
          <cell r="F184">
            <v>0</v>
          </cell>
          <cell r="G184">
            <v>1000</v>
          </cell>
          <cell r="H184">
            <v>9</v>
          </cell>
          <cell r="I184">
            <v>238500</v>
          </cell>
          <cell r="J184">
            <v>0</v>
          </cell>
          <cell r="K184">
            <v>0</v>
          </cell>
          <cell r="L184" t="str">
            <v>JPY</v>
          </cell>
          <cell r="M184" t="str">
            <v>CMA</v>
          </cell>
          <cell r="N184">
            <v>0</v>
          </cell>
        </row>
        <row r="185">
          <cell r="A185">
            <v>147</v>
          </cell>
          <cell r="B185" t="str">
            <v>SPCNC212</v>
          </cell>
          <cell r="C185" t="str">
            <v>KE002-010</v>
          </cell>
          <cell r="D185" t="str">
            <v>IKEL 60N</v>
          </cell>
          <cell r="E185">
            <v>0</v>
          </cell>
          <cell r="F185">
            <v>0</v>
          </cell>
          <cell r="G185">
            <v>268</v>
          </cell>
          <cell r="H185">
            <v>4.5</v>
          </cell>
          <cell r="I185">
            <v>113900</v>
          </cell>
          <cell r="J185">
            <v>0</v>
          </cell>
          <cell r="K185">
            <v>0</v>
          </cell>
          <cell r="L185" t="str">
            <v>JPY</v>
          </cell>
          <cell r="M185" t="str">
            <v>CMA</v>
          </cell>
          <cell r="N185">
            <v>0</v>
          </cell>
        </row>
        <row r="186">
          <cell r="A186">
            <v>148</v>
          </cell>
          <cell r="B186" t="str">
            <v>SPCNC213</v>
          </cell>
          <cell r="C186" t="str">
            <v>615-511A</v>
          </cell>
          <cell r="D186" t="str">
            <v>Y2 SLIDE BASE FOR L220E</v>
          </cell>
          <cell r="E186">
            <v>0</v>
          </cell>
          <cell r="F186">
            <v>0</v>
          </cell>
          <cell r="G186">
            <v>36</v>
          </cell>
          <cell r="H186">
            <v>3</v>
          </cell>
          <cell r="I186">
            <v>19200</v>
          </cell>
          <cell r="J186">
            <v>0</v>
          </cell>
          <cell r="K186">
            <v>0</v>
          </cell>
          <cell r="L186" t="str">
            <v>JPY</v>
          </cell>
          <cell r="M186" t="str">
            <v>CMA</v>
          </cell>
          <cell r="N186">
            <v>0</v>
          </cell>
        </row>
        <row r="187">
          <cell r="A187">
            <v>149</v>
          </cell>
          <cell r="B187" t="str">
            <v>TP624</v>
          </cell>
          <cell r="C187" t="str">
            <v>0615-511C</v>
          </cell>
          <cell r="D187" t="str">
            <v>Y2 SLIDE BASE FOR L220E</v>
          </cell>
          <cell r="E187" t="str">
            <v xml:space="preserve"> §Çu bµn g¸ m¸y tiÖn L220E@0615-511        Head stock for L220E</v>
          </cell>
          <cell r="F187">
            <v>0</v>
          </cell>
          <cell r="G187">
            <v>36</v>
          </cell>
          <cell r="H187">
            <v>0</v>
          </cell>
          <cell r="I187">
            <v>7200</v>
          </cell>
          <cell r="J187">
            <v>0</v>
          </cell>
          <cell r="K187">
            <v>0</v>
          </cell>
          <cell r="L187" t="str">
            <v>JPY</v>
          </cell>
          <cell r="M187" t="str">
            <v>CMA</v>
          </cell>
          <cell r="N187">
            <v>0</v>
          </cell>
        </row>
        <row r="188">
          <cell r="A188">
            <v>150</v>
          </cell>
          <cell r="B188" t="str">
            <v>SPCNC220</v>
          </cell>
          <cell r="C188" t="str">
            <v>614-291-3A</v>
          </cell>
          <cell r="D188" t="str">
            <v>BASE L220E</v>
          </cell>
          <cell r="E188">
            <v>0</v>
          </cell>
          <cell r="F188">
            <v>0</v>
          </cell>
          <cell r="G188">
            <v>7</v>
          </cell>
          <cell r="H188">
            <v>2</v>
          </cell>
          <cell r="I188">
            <v>9365</v>
          </cell>
          <cell r="J188">
            <v>0</v>
          </cell>
          <cell r="K188">
            <v>0</v>
          </cell>
          <cell r="L188" t="str">
            <v>JPY</v>
          </cell>
          <cell r="M188" t="str">
            <v>CMA</v>
          </cell>
          <cell r="N188">
            <v>0</v>
          </cell>
        </row>
        <row r="189">
          <cell r="A189">
            <v>151</v>
          </cell>
          <cell r="B189" t="str">
            <v>TP745</v>
          </cell>
          <cell r="C189" t="str">
            <v>0617-115-1C</v>
          </cell>
          <cell r="D189" t="str">
            <v>TOOL POST</v>
          </cell>
          <cell r="E189" t="str">
            <v xml:space="preserve"> Bµn g¸ dao m¸y tiÖn A320 b»ng ph«i gang@ 0617-115-1 Tool post  for A320</v>
          </cell>
          <cell r="F189">
            <v>0</v>
          </cell>
          <cell r="G189">
            <v>141</v>
          </cell>
          <cell r="H189">
            <v>0</v>
          </cell>
          <cell r="I189">
            <v>24325</v>
          </cell>
          <cell r="J189">
            <v>0</v>
          </cell>
          <cell r="K189">
            <v>0</v>
          </cell>
          <cell r="L189" t="str">
            <v>JPY</v>
          </cell>
          <cell r="M189" t="str">
            <v>CMA</v>
          </cell>
          <cell r="N189">
            <v>0</v>
          </cell>
        </row>
        <row r="190">
          <cell r="A190">
            <v>152</v>
          </cell>
          <cell r="B190" t="str">
            <v>SPCNC251</v>
          </cell>
          <cell r="C190" t="str">
            <v>617-123-1A</v>
          </cell>
          <cell r="D190" t="str">
            <v>TOOL POST</v>
          </cell>
          <cell r="E190">
            <v>0</v>
          </cell>
          <cell r="F190">
            <v>0</v>
          </cell>
          <cell r="G190">
            <v>141</v>
          </cell>
          <cell r="H190">
            <v>6.5</v>
          </cell>
          <cell r="I190">
            <v>66325</v>
          </cell>
          <cell r="J190">
            <v>0</v>
          </cell>
          <cell r="K190">
            <v>0</v>
          </cell>
          <cell r="L190" t="str">
            <v>JPY</v>
          </cell>
          <cell r="M190" t="str">
            <v>CMA</v>
          </cell>
          <cell r="N190">
            <v>0</v>
          </cell>
        </row>
        <row r="191">
          <cell r="A191">
            <v>153</v>
          </cell>
          <cell r="B191" t="str">
            <v>TP746</v>
          </cell>
          <cell r="C191" t="str">
            <v>0616-397C</v>
          </cell>
          <cell r="D191" t="str">
            <v>X SLIDE</v>
          </cell>
          <cell r="E191" t="str">
            <v xml:space="preserve"> Bµn tr­ît Z m¸y tiÖn A320N b»ng ph«i gang@ 0616-397-6 Z slide for A320N</v>
          </cell>
          <cell r="F191">
            <v>0</v>
          </cell>
          <cell r="G191">
            <v>19</v>
          </cell>
          <cell r="H191">
            <v>0</v>
          </cell>
          <cell r="I191">
            <v>3700</v>
          </cell>
          <cell r="J191">
            <v>0</v>
          </cell>
          <cell r="K191">
            <v>0</v>
          </cell>
          <cell r="L191" t="str">
            <v>JPY</v>
          </cell>
          <cell r="M191" t="str">
            <v>CMA</v>
          </cell>
          <cell r="N191">
            <v>0</v>
          </cell>
        </row>
        <row r="192">
          <cell r="A192">
            <v>154</v>
          </cell>
          <cell r="B192" t="str">
            <v>SPCNC247</v>
          </cell>
          <cell r="C192" t="str">
            <v>616-397A</v>
          </cell>
          <cell r="D192" t="str">
            <v>X SLIDE</v>
          </cell>
          <cell r="E192">
            <v>0</v>
          </cell>
          <cell r="F192">
            <v>0</v>
          </cell>
          <cell r="G192">
            <v>19</v>
          </cell>
          <cell r="H192">
            <v>3</v>
          </cell>
          <cell r="I192">
            <v>15700</v>
          </cell>
          <cell r="J192">
            <v>0</v>
          </cell>
          <cell r="K192">
            <v>0</v>
          </cell>
          <cell r="L192" t="str">
            <v>JPY</v>
          </cell>
          <cell r="M192" t="str">
            <v>CMA</v>
          </cell>
          <cell r="N192">
            <v>0</v>
          </cell>
        </row>
        <row r="193">
          <cell r="A193">
            <v>155</v>
          </cell>
          <cell r="B193" t="str">
            <v>TP747</v>
          </cell>
          <cell r="C193" t="str">
            <v>0616-398-1C</v>
          </cell>
          <cell r="D193" t="str">
            <v>CROSS SLIDE</v>
          </cell>
          <cell r="E193" t="str">
            <v xml:space="preserve"> Bµn tr­ît ngang m¸y tiÖn A320N b»ng ph«i gang@ 0616-398-2    Cross slide for  A</v>
          </cell>
          <cell r="F193">
            <v>0</v>
          </cell>
          <cell r="G193">
            <v>43</v>
          </cell>
          <cell r="H193">
            <v>0</v>
          </cell>
          <cell r="I193">
            <v>8325</v>
          </cell>
          <cell r="J193">
            <v>0</v>
          </cell>
          <cell r="K193">
            <v>0</v>
          </cell>
          <cell r="L193" t="str">
            <v>JPY</v>
          </cell>
          <cell r="M193" t="str">
            <v>CMA</v>
          </cell>
          <cell r="N193">
            <v>0</v>
          </cell>
        </row>
        <row r="194">
          <cell r="A194">
            <v>156</v>
          </cell>
          <cell r="B194" t="str">
            <v>SPCNC248</v>
          </cell>
          <cell r="C194" t="str">
            <v>616-398-2A</v>
          </cell>
          <cell r="D194" t="str">
            <v>CROSS SLIDE</v>
          </cell>
          <cell r="E194">
            <v>0</v>
          </cell>
          <cell r="F194">
            <v>0</v>
          </cell>
          <cell r="G194">
            <v>43</v>
          </cell>
          <cell r="H194">
            <v>5</v>
          </cell>
          <cell r="I194">
            <v>28325</v>
          </cell>
          <cell r="J194">
            <v>0</v>
          </cell>
          <cell r="K194">
            <v>0</v>
          </cell>
          <cell r="L194" t="str">
            <v>JPY</v>
          </cell>
          <cell r="M194" t="str">
            <v>CMA</v>
          </cell>
          <cell r="N194">
            <v>0</v>
          </cell>
        </row>
        <row r="195">
          <cell r="A195">
            <v>157</v>
          </cell>
          <cell r="B195" t="str">
            <v>TP744</v>
          </cell>
          <cell r="C195" t="str">
            <v>0615-510C</v>
          </cell>
          <cell r="D195" t="str">
            <v>BACK HEAD STOCK</v>
          </cell>
          <cell r="E195" t="str">
            <v xml:space="preserve"> Bµn tr­ît m¸y tiÖn A320N b»ng ph«i gang@ 0615-510 Cross slide for  A320N</v>
          </cell>
          <cell r="F195">
            <v>0</v>
          </cell>
          <cell r="G195">
            <v>37</v>
          </cell>
          <cell r="H195">
            <v>0</v>
          </cell>
          <cell r="I195">
            <v>7030</v>
          </cell>
          <cell r="J195">
            <v>0</v>
          </cell>
          <cell r="K195">
            <v>0</v>
          </cell>
          <cell r="L195" t="str">
            <v>JPY</v>
          </cell>
          <cell r="M195" t="str">
            <v>CMA</v>
          </cell>
          <cell r="N195">
            <v>0</v>
          </cell>
        </row>
        <row r="196">
          <cell r="A196">
            <v>158</v>
          </cell>
          <cell r="B196" t="str">
            <v>TP708</v>
          </cell>
          <cell r="C196" t="str">
            <v>0615-509C</v>
          </cell>
          <cell r="D196" t="str">
            <v>HEAD STOCK</v>
          </cell>
          <cell r="E196" t="str">
            <v xml:space="preserve"> §Çu bµn g¸ m¸y tiÖn A320@615-509           Head stock for A320</v>
          </cell>
          <cell r="F196">
            <v>0</v>
          </cell>
          <cell r="G196">
            <v>42</v>
          </cell>
          <cell r="H196">
            <v>0</v>
          </cell>
          <cell r="I196">
            <v>7980</v>
          </cell>
          <cell r="J196">
            <v>0</v>
          </cell>
          <cell r="K196">
            <v>0</v>
          </cell>
          <cell r="L196" t="str">
            <v>JPY</v>
          </cell>
          <cell r="M196" t="str">
            <v>CMA</v>
          </cell>
          <cell r="N196">
            <v>0</v>
          </cell>
        </row>
        <row r="197">
          <cell r="A197">
            <v>159</v>
          </cell>
          <cell r="B197" t="str">
            <v>SPCNC244</v>
          </cell>
          <cell r="C197" t="str">
            <v>615-509-3</v>
          </cell>
          <cell r="D197" t="str">
            <v>HEAD STOCK</v>
          </cell>
          <cell r="E197">
            <v>0</v>
          </cell>
          <cell r="F197">
            <v>0</v>
          </cell>
          <cell r="G197">
            <v>42</v>
          </cell>
          <cell r="H197">
            <v>3.5</v>
          </cell>
          <cell r="I197">
            <v>21980</v>
          </cell>
          <cell r="J197">
            <v>0</v>
          </cell>
          <cell r="K197">
            <v>0</v>
          </cell>
          <cell r="L197" t="str">
            <v>JPY</v>
          </cell>
          <cell r="M197" t="str">
            <v>CMA</v>
          </cell>
          <cell r="N197">
            <v>0</v>
          </cell>
        </row>
        <row r="198">
          <cell r="A198">
            <v>160</v>
          </cell>
          <cell r="B198" t="str">
            <v>SPCNC238</v>
          </cell>
          <cell r="C198" t="str">
            <v>615-480-1</v>
          </cell>
          <cell r="D198" t="str">
            <v>HEAD STOCK BRACKET</v>
          </cell>
          <cell r="E198">
            <v>0</v>
          </cell>
          <cell r="F198">
            <v>0</v>
          </cell>
          <cell r="G198">
            <v>12</v>
          </cell>
          <cell r="H198">
            <v>3</v>
          </cell>
          <cell r="I198">
            <v>17400</v>
          </cell>
          <cell r="J198">
            <v>0</v>
          </cell>
          <cell r="K198">
            <v>0</v>
          </cell>
          <cell r="L198" t="str">
            <v>JPY</v>
          </cell>
          <cell r="M198" t="str">
            <v>CMA</v>
          </cell>
          <cell r="N198">
            <v>0</v>
          </cell>
        </row>
        <row r="199">
          <cell r="A199">
            <v>161</v>
          </cell>
          <cell r="B199" t="str">
            <v>SPCNC219</v>
          </cell>
          <cell r="C199" t="str">
            <v>615-486-7A</v>
          </cell>
          <cell r="D199" t="str">
            <v>X SLIDE L220E</v>
          </cell>
          <cell r="E199">
            <v>0</v>
          </cell>
          <cell r="F199">
            <v>0</v>
          </cell>
          <cell r="G199">
            <v>16</v>
          </cell>
          <cell r="H199">
            <v>3</v>
          </cell>
          <cell r="I199">
            <v>14960</v>
          </cell>
          <cell r="J199">
            <v>0</v>
          </cell>
          <cell r="K199">
            <v>0</v>
          </cell>
          <cell r="L199" t="str">
            <v>JPY</v>
          </cell>
          <cell r="M199" t="str">
            <v>CMA</v>
          </cell>
          <cell r="N199">
            <v>0</v>
          </cell>
        </row>
        <row r="200">
          <cell r="A200">
            <v>162</v>
          </cell>
          <cell r="B200" t="str">
            <v>TP446</v>
          </cell>
          <cell r="C200" t="str">
            <v>0615-412-2</v>
          </cell>
          <cell r="D200" t="str">
            <v>Z2 SLIDE</v>
          </cell>
          <cell r="E200" t="str">
            <v>Bµn tr­ît Z2 cho m¸y tiÖn K1216E@615-412-2C     Z2 slide for K1216E</v>
          </cell>
          <cell r="F200">
            <v>0</v>
          </cell>
          <cell r="G200">
            <v>19</v>
          </cell>
          <cell r="H200">
            <v>0</v>
          </cell>
          <cell r="I200">
            <v>3705</v>
          </cell>
          <cell r="J200">
            <v>0</v>
          </cell>
          <cell r="K200">
            <v>0</v>
          </cell>
          <cell r="L200" t="str">
            <v>JPY</v>
          </cell>
          <cell r="M200" t="str">
            <v>CMA</v>
          </cell>
          <cell r="N200">
            <v>0</v>
          </cell>
        </row>
        <row r="201">
          <cell r="A201">
            <v>163</v>
          </cell>
          <cell r="B201" t="str">
            <v>TP752</v>
          </cell>
          <cell r="C201" t="str">
            <v>0616-350</v>
          </cell>
          <cell r="D201" t="str">
            <v>X SLIDE K1216E</v>
          </cell>
          <cell r="E201" t="str">
            <v>Bµn tr­ît X m¸y tiÖn K1216E@0616-350 X slide for K1216E</v>
          </cell>
          <cell r="F201">
            <v>0</v>
          </cell>
          <cell r="G201">
            <v>31</v>
          </cell>
          <cell r="H201">
            <v>0</v>
          </cell>
          <cell r="I201">
            <v>6400</v>
          </cell>
          <cell r="J201">
            <v>0</v>
          </cell>
          <cell r="K201">
            <v>0</v>
          </cell>
          <cell r="L201" t="str">
            <v>JPY</v>
          </cell>
          <cell r="M201" t="str">
            <v>CMA</v>
          </cell>
          <cell r="N201">
            <v>0</v>
          </cell>
        </row>
        <row r="202">
          <cell r="A202">
            <v>164</v>
          </cell>
          <cell r="B202" t="str">
            <v>TP753</v>
          </cell>
          <cell r="C202" t="str">
            <v>0616-347</v>
          </cell>
          <cell r="D202" t="str">
            <v>HEAD STOCK K1216E</v>
          </cell>
          <cell r="E202" t="str">
            <v>Bµn g¸ dao m¸y tiÖn K1216E@0616-347 Tool post for K1216E</v>
          </cell>
          <cell r="F202">
            <v>0</v>
          </cell>
          <cell r="G202">
            <v>26</v>
          </cell>
          <cell r="H202">
            <v>0</v>
          </cell>
          <cell r="I202">
            <v>5200</v>
          </cell>
          <cell r="J202">
            <v>0</v>
          </cell>
          <cell r="K202">
            <v>0</v>
          </cell>
          <cell r="L202" t="str">
            <v>JPY</v>
          </cell>
          <cell r="M202" t="str">
            <v>CMA</v>
          </cell>
          <cell r="N202">
            <v>0</v>
          </cell>
        </row>
        <row r="203">
          <cell r="A203">
            <v>165</v>
          </cell>
          <cell r="B203" t="str">
            <v>TP623</v>
          </cell>
          <cell r="C203" t="str">
            <v>0615-507</v>
          </cell>
          <cell r="D203" t="str">
            <v>HEAD STOCK L220E</v>
          </cell>
          <cell r="E203" t="str">
            <v xml:space="preserve"> Bµn tr­ît m¸y tiÖn L220E@0615-507        Head stock for L220E</v>
          </cell>
          <cell r="F203">
            <v>0</v>
          </cell>
          <cell r="G203">
            <v>35</v>
          </cell>
          <cell r="H203">
            <v>0</v>
          </cell>
          <cell r="I203">
            <v>7350</v>
          </cell>
          <cell r="J203">
            <v>0</v>
          </cell>
          <cell r="K203">
            <v>0</v>
          </cell>
          <cell r="L203" t="str">
            <v>JPY</v>
          </cell>
          <cell r="M203" t="str">
            <v>CMA</v>
          </cell>
          <cell r="N203">
            <v>0</v>
          </cell>
        </row>
        <row r="204">
          <cell r="A204">
            <v>166</v>
          </cell>
          <cell r="B204" t="str">
            <v>TP641</v>
          </cell>
          <cell r="C204" t="str">
            <v>615-484</v>
          </cell>
          <cell r="D204" t="str">
            <v>Z2 SLIDE L220E</v>
          </cell>
          <cell r="E204" t="str">
            <v xml:space="preserve"> Bµn tr­ît Z2 cho m¸y tiÖn L220E@0615-484    Z2 Slide for L220E</v>
          </cell>
          <cell r="F204">
            <v>0</v>
          </cell>
          <cell r="G204">
            <v>20</v>
          </cell>
          <cell r="H204">
            <v>0</v>
          </cell>
          <cell r="I204">
            <v>4000</v>
          </cell>
          <cell r="J204">
            <v>0</v>
          </cell>
          <cell r="K204">
            <v>0</v>
          </cell>
          <cell r="L204" t="str">
            <v>JPY</v>
          </cell>
          <cell r="M204" t="str">
            <v>CMA</v>
          </cell>
          <cell r="N204">
            <v>0</v>
          </cell>
        </row>
        <row r="205">
          <cell r="A205">
            <v>167</v>
          </cell>
          <cell r="B205" t="str">
            <v>SPCNC245</v>
          </cell>
          <cell r="C205" t="str">
            <v>615-510</v>
          </cell>
          <cell r="D205" t="str">
            <v>BACK HEAD STOCK</v>
          </cell>
          <cell r="E205">
            <v>0</v>
          </cell>
          <cell r="F205">
            <v>0</v>
          </cell>
          <cell r="G205">
            <v>37</v>
          </cell>
          <cell r="H205">
            <v>3.5</v>
          </cell>
          <cell r="I205">
            <v>19030</v>
          </cell>
          <cell r="J205">
            <v>0</v>
          </cell>
          <cell r="K205">
            <v>0</v>
          </cell>
          <cell r="L205" t="str">
            <v>JPY</v>
          </cell>
          <cell r="M205" t="str">
            <v>CMA</v>
          </cell>
          <cell r="N205">
            <v>0</v>
          </cell>
        </row>
        <row r="206">
          <cell r="A206">
            <v>168</v>
          </cell>
          <cell r="B206" t="str">
            <v>TP781</v>
          </cell>
          <cell r="C206" t="str">
            <v>0615-470</v>
          </cell>
          <cell r="D206" t="str">
            <v>BRACKET</v>
          </cell>
          <cell r="E206" t="str">
            <v>Gi¸ ®ì bµn giao m¸y tiÖn chÊt liÖu b¨ng ph«i gang@0615-470  Bracket</v>
          </cell>
          <cell r="F206">
            <v>0</v>
          </cell>
          <cell r="G206">
            <v>9</v>
          </cell>
          <cell r="H206">
            <v>0</v>
          </cell>
          <cell r="I206">
            <v>1980</v>
          </cell>
          <cell r="J206">
            <v>0</v>
          </cell>
          <cell r="K206">
            <v>0</v>
          </cell>
          <cell r="L206" t="str">
            <v>JPY</v>
          </cell>
          <cell r="M206" t="str">
            <v>CMA</v>
          </cell>
          <cell r="N206">
            <v>0</v>
          </cell>
        </row>
        <row r="207">
          <cell r="A207">
            <v>169</v>
          </cell>
          <cell r="B207" t="str">
            <v>TP782</v>
          </cell>
          <cell r="C207" t="str">
            <v>0642-125</v>
          </cell>
          <cell r="D207" t="str">
            <v>SLEEVE HOLDER L12</v>
          </cell>
          <cell r="E207" t="str">
            <v xml:space="preserve"> Thanh ®ì g¸ kÑp m¸y tiÖn chÊt liÖu b»ng ph«i gang@0642-125  Sleeve holder</v>
          </cell>
          <cell r="F207">
            <v>0</v>
          </cell>
          <cell r="G207">
            <v>2</v>
          </cell>
          <cell r="H207">
            <v>0</v>
          </cell>
          <cell r="I207">
            <v>700</v>
          </cell>
          <cell r="J207">
            <v>0</v>
          </cell>
          <cell r="K207">
            <v>0</v>
          </cell>
          <cell r="L207" t="str">
            <v>JPY</v>
          </cell>
          <cell r="M207" t="str">
            <v>CMA</v>
          </cell>
          <cell r="N207">
            <v>0</v>
          </cell>
        </row>
        <row r="208">
          <cell r="A208">
            <v>170</v>
          </cell>
          <cell r="B208" t="str">
            <v>TP783</v>
          </cell>
          <cell r="C208" t="str">
            <v>0612-060</v>
          </cell>
          <cell r="D208" t="str">
            <v>SLEEVE HOLDER L220E</v>
          </cell>
          <cell r="E208" t="str">
            <v>Thanh ®ì g¸ kÑp m¸y tiÖn chÊt liÖu b»ng ph«i gang@0612-060  Sleeve holder</v>
          </cell>
          <cell r="F208">
            <v>0</v>
          </cell>
          <cell r="G208">
            <v>4</v>
          </cell>
          <cell r="H208">
            <v>0</v>
          </cell>
          <cell r="I208">
            <v>1200</v>
          </cell>
          <cell r="J208">
            <v>0</v>
          </cell>
          <cell r="K208">
            <v>0</v>
          </cell>
          <cell r="L208" t="str">
            <v>JPY</v>
          </cell>
          <cell r="M208" t="str">
            <v>CMA</v>
          </cell>
          <cell r="N208">
            <v>0</v>
          </cell>
        </row>
        <row r="209">
          <cell r="A209">
            <v>171</v>
          </cell>
          <cell r="B209" t="str">
            <v>TP784</v>
          </cell>
          <cell r="C209" t="str">
            <v>0612-059</v>
          </cell>
          <cell r="D209" t="str">
            <v>SLEEVE HOLDER L220E</v>
          </cell>
          <cell r="E209" t="str">
            <v>Thanh ®ì g¸ kÑp m¸y tiÖn chÊt liÖu b»ng ph«i gang@0612-059  Sleeve holder</v>
          </cell>
          <cell r="F209">
            <v>0</v>
          </cell>
          <cell r="G209">
            <v>5</v>
          </cell>
          <cell r="H209">
            <v>0</v>
          </cell>
          <cell r="I209">
            <v>1500</v>
          </cell>
          <cell r="J209">
            <v>0</v>
          </cell>
          <cell r="K209">
            <v>0</v>
          </cell>
          <cell r="L209" t="str">
            <v>JPY</v>
          </cell>
          <cell r="M209" t="str">
            <v>CMA</v>
          </cell>
          <cell r="N209">
            <v>0</v>
          </cell>
        </row>
        <row r="210">
          <cell r="A210">
            <v>172</v>
          </cell>
          <cell r="B210" t="str">
            <v>TP785</v>
          </cell>
          <cell r="C210" t="str">
            <v>0615-490</v>
          </cell>
          <cell r="D210" t="str">
            <v>BASE L220E</v>
          </cell>
          <cell r="E210" t="str">
            <v xml:space="preserve"> Bµn dao m¸y tiÖn chÊt liÖu b»ng ph«i gang@0615-490  slide</v>
          </cell>
          <cell r="F210">
            <v>0</v>
          </cell>
          <cell r="G210">
            <v>26</v>
          </cell>
          <cell r="H210">
            <v>0</v>
          </cell>
          <cell r="I210">
            <v>5200</v>
          </cell>
          <cell r="J210">
            <v>0</v>
          </cell>
          <cell r="K210">
            <v>0</v>
          </cell>
          <cell r="L210" t="str">
            <v>JPY</v>
          </cell>
          <cell r="M210" t="str">
            <v>CMA</v>
          </cell>
          <cell r="N210">
            <v>0</v>
          </cell>
        </row>
        <row r="211">
          <cell r="A211">
            <v>173</v>
          </cell>
          <cell r="B211" t="str">
            <v>TP786</v>
          </cell>
          <cell r="C211" t="str">
            <v>0615-409</v>
          </cell>
          <cell r="D211" t="str">
            <v>CHUCKING LEVER L220E</v>
          </cell>
          <cell r="E211" t="str">
            <v xml:space="preserve"> M©m kÑp m¸y tiÖn chÊt liÖu b»ng ph«i gang@0615-409  Chucking lever</v>
          </cell>
          <cell r="F211">
            <v>0</v>
          </cell>
          <cell r="G211">
            <v>2</v>
          </cell>
          <cell r="H211">
            <v>0</v>
          </cell>
          <cell r="I211">
            <v>700</v>
          </cell>
          <cell r="J211">
            <v>0</v>
          </cell>
          <cell r="K211">
            <v>0</v>
          </cell>
          <cell r="L211" t="str">
            <v>JPY</v>
          </cell>
          <cell r="M211" t="str">
            <v>CMA</v>
          </cell>
          <cell r="N211">
            <v>0</v>
          </cell>
        </row>
        <row r="212">
          <cell r="A212">
            <v>174</v>
          </cell>
          <cell r="B212" t="str">
            <v>TP787</v>
          </cell>
          <cell r="C212" t="str">
            <v>0615-481</v>
          </cell>
          <cell r="D212" t="str">
            <v>CHUCKING LEVER A320N</v>
          </cell>
          <cell r="E212" t="str">
            <v>M©m kÑp m¸y tiÖn chÊt liÖu b»ng ph«i gang@0615-481  Chucking lever</v>
          </cell>
          <cell r="F212">
            <v>0</v>
          </cell>
          <cell r="G212">
            <v>3</v>
          </cell>
          <cell r="H212">
            <v>0</v>
          </cell>
          <cell r="I212">
            <v>900</v>
          </cell>
          <cell r="J212">
            <v>0</v>
          </cell>
          <cell r="K212">
            <v>0</v>
          </cell>
          <cell r="L212" t="str">
            <v>JPY</v>
          </cell>
          <cell r="M212" t="str">
            <v>CMA</v>
          </cell>
          <cell r="N212">
            <v>0</v>
          </cell>
        </row>
        <row r="213">
          <cell r="A213">
            <v>175</v>
          </cell>
          <cell r="B213" t="str">
            <v>TP788</v>
          </cell>
          <cell r="C213" t="str">
            <v>0613-205</v>
          </cell>
          <cell r="D213" t="str">
            <v>BRACKET A320N</v>
          </cell>
          <cell r="E213" t="str">
            <v>Gi¸ ®ì bµn giao m¸y tiÖn chÊt liÖu b¨ng ph«i gang@0613-205  Bracket</v>
          </cell>
          <cell r="F213">
            <v>0</v>
          </cell>
          <cell r="G213">
            <v>2</v>
          </cell>
          <cell r="H213">
            <v>0</v>
          </cell>
          <cell r="I213">
            <v>700</v>
          </cell>
          <cell r="J213">
            <v>0</v>
          </cell>
          <cell r="K213">
            <v>0</v>
          </cell>
          <cell r="L213" t="str">
            <v>JPY</v>
          </cell>
          <cell r="M213" t="str">
            <v>CMA</v>
          </cell>
          <cell r="N213">
            <v>0</v>
          </cell>
        </row>
        <row r="214">
          <cell r="A214">
            <v>176</v>
          </cell>
          <cell r="B214" t="str">
            <v>TP789</v>
          </cell>
          <cell r="C214" t="str">
            <v>0615-358</v>
          </cell>
          <cell r="D214" t="str">
            <v>CHUCKING LEVER A320N</v>
          </cell>
          <cell r="E214" t="str">
            <v>M©m kÑp m¸y tiÖn chÊt liÖu b»ng ph«i gang@0615-358  Chucking lever</v>
          </cell>
          <cell r="F214">
            <v>0</v>
          </cell>
          <cell r="G214">
            <v>2</v>
          </cell>
          <cell r="H214">
            <v>0</v>
          </cell>
          <cell r="I214">
            <v>900</v>
          </cell>
          <cell r="J214">
            <v>0</v>
          </cell>
          <cell r="K214">
            <v>0</v>
          </cell>
          <cell r="L214" t="str">
            <v>JPY</v>
          </cell>
          <cell r="M214" t="str">
            <v>CMA</v>
          </cell>
          <cell r="N214">
            <v>0</v>
          </cell>
        </row>
        <row r="215">
          <cell r="A215">
            <v>177</v>
          </cell>
          <cell r="B215" t="str">
            <v>TP630</v>
          </cell>
          <cell r="C215" t="str">
            <v>0615-512</v>
          </cell>
          <cell r="D215" t="str">
            <v>BRACKET</v>
          </cell>
          <cell r="E215" t="str">
            <v xml:space="preserve"> Khung ®ì m¸y tiÖn A320N@0615-512 Bracket for A320N</v>
          </cell>
          <cell r="F215">
            <v>0</v>
          </cell>
          <cell r="G215">
            <v>14</v>
          </cell>
          <cell r="H215">
            <v>0</v>
          </cell>
          <cell r="I215">
            <v>2800</v>
          </cell>
          <cell r="J215">
            <v>0</v>
          </cell>
          <cell r="K215">
            <v>0</v>
          </cell>
          <cell r="L215" t="str">
            <v>JPY</v>
          </cell>
          <cell r="M215" t="str">
            <v>CMA</v>
          </cell>
          <cell r="N215">
            <v>0</v>
          </cell>
        </row>
        <row r="216">
          <cell r="A216">
            <v>178</v>
          </cell>
          <cell r="B216" t="str">
            <v>TP790</v>
          </cell>
          <cell r="C216" t="str">
            <v>0616-396-1C</v>
          </cell>
          <cell r="D216" t="str">
            <v>BRACKET</v>
          </cell>
          <cell r="E216" t="str">
            <v>Khung ®ì m¸y tiÖn chÊt liÖu b»ng ph«i gang</v>
          </cell>
          <cell r="F216">
            <v>0</v>
          </cell>
          <cell r="G216">
            <v>14</v>
          </cell>
          <cell r="H216">
            <v>0</v>
          </cell>
          <cell r="I216">
            <v>2800</v>
          </cell>
          <cell r="J216">
            <v>0</v>
          </cell>
          <cell r="K216">
            <v>0</v>
          </cell>
          <cell r="L216" t="str">
            <v>JPY</v>
          </cell>
          <cell r="M216" t="str">
            <v>CMA</v>
          </cell>
          <cell r="N216">
            <v>0</v>
          </cell>
        </row>
        <row r="217">
          <cell r="A217">
            <v>179</v>
          </cell>
          <cell r="B217" t="str">
            <v>TP731</v>
          </cell>
          <cell r="C217" t="str">
            <v>615-479C</v>
          </cell>
          <cell r="D217" t="str">
            <v>HEAD STOCK BRACKET</v>
          </cell>
          <cell r="E217" t="str">
            <v xml:space="preserve"> Khung g¸ dao m¸y tiÖn A320N@0615-479       Head Stoct Braket A320N</v>
          </cell>
          <cell r="F217">
            <v>0</v>
          </cell>
          <cell r="G217">
            <v>12</v>
          </cell>
          <cell r="H217">
            <v>0</v>
          </cell>
          <cell r="I217">
            <v>2400</v>
          </cell>
          <cell r="J217">
            <v>0</v>
          </cell>
          <cell r="K217">
            <v>0</v>
          </cell>
          <cell r="L217" t="str">
            <v>JPY</v>
          </cell>
          <cell r="M217" t="str">
            <v>CMA</v>
          </cell>
          <cell r="N217">
            <v>0</v>
          </cell>
        </row>
        <row r="218">
          <cell r="A218">
            <v>180</v>
          </cell>
          <cell r="B218" t="str">
            <v>SPCNC264</v>
          </cell>
          <cell r="C218" t="str">
            <v>615-478-3A</v>
          </cell>
          <cell r="D218" t="str">
            <v>CROSS SLIDE FOR L220E</v>
          </cell>
          <cell r="E218" t="str">
            <v>Bàn trượt máy tiện L220E</v>
          </cell>
          <cell r="F218">
            <v>0</v>
          </cell>
          <cell r="G218">
            <v>30</v>
          </cell>
          <cell r="H218">
            <v>0</v>
          </cell>
          <cell r="I218">
            <v>17000</v>
          </cell>
          <cell r="J218">
            <v>0</v>
          </cell>
          <cell r="K218">
            <v>0</v>
          </cell>
          <cell r="L218" t="str">
            <v>JPY</v>
          </cell>
          <cell r="M218" t="str">
            <v>CMA</v>
          </cell>
          <cell r="N218">
            <v>0</v>
          </cell>
        </row>
        <row r="219">
          <cell r="A219">
            <v>181</v>
          </cell>
          <cell r="B219" t="str">
            <v>SPCNC265</v>
          </cell>
          <cell r="C219" t="str">
            <v>617-116-6A</v>
          </cell>
          <cell r="D219" t="str">
            <v>CROSS SLIDE</v>
          </cell>
          <cell r="E219" t="str">
            <v>Bàn trượt máy tiện L220E</v>
          </cell>
          <cell r="F219">
            <v>0</v>
          </cell>
          <cell r="G219">
            <v>46</v>
          </cell>
          <cell r="H219">
            <v>0</v>
          </cell>
          <cell r="I219">
            <v>24000</v>
          </cell>
          <cell r="J219">
            <v>0</v>
          </cell>
          <cell r="K219">
            <v>0</v>
          </cell>
          <cell r="L219">
            <v>0</v>
          </cell>
          <cell r="M219" t="str">
            <v>CMA</v>
          </cell>
          <cell r="N219">
            <v>0</v>
          </cell>
        </row>
        <row r="220">
          <cell r="A220">
            <v>182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 t="str">
            <v>JPY</v>
          </cell>
          <cell r="M220" t="str">
            <v>CMA</v>
          </cell>
          <cell r="N220">
            <v>0</v>
          </cell>
        </row>
        <row r="221">
          <cell r="A221">
            <v>183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 t="str">
            <v>JPY</v>
          </cell>
          <cell r="M221" t="str">
            <v>CMA</v>
          </cell>
          <cell r="N221">
            <v>0</v>
          </cell>
        </row>
        <row r="222">
          <cell r="A222">
            <v>184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</row>
        <row r="223">
          <cell r="A223">
            <v>0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24">
          <cell r="A224">
            <v>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</row>
        <row r="225">
          <cell r="A225">
            <v>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</row>
        <row r="226">
          <cell r="A226">
            <v>0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A227">
            <v>0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</row>
        <row r="228">
          <cell r="A228">
            <v>0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</row>
        <row r="229">
          <cell r="A229">
            <v>0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</row>
        <row r="230">
          <cell r="A230">
            <v>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</row>
        <row r="231">
          <cell r="A231">
            <v>0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</row>
        <row r="232">
          <cell r="A232">
            <v>0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</row>
        <row r="233">
          <cell r="A233">
            <v>0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</row>
        <row r="234">
          <cell r="A234">
            <v>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</row>
        <row r="235">
          <cell r="A235">
            <v>0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</row>
        <row r="236">
          <cell r="A236">
            <v>0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</row>
        <row r="237">
          <cell r="A237">
            <v>0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</row>
        <row r="238">
          <cell r="A238">
            <v>0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</row>
        <row r="239">
          <cell r="A239">
            <v>0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</row>
        <row r="240">
          <cell r="A240">
            <v>0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</row>
        <row r="241">
          <cell r="A241">
            <v>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</row>
        <row r="242">
          <cell r="A242">
            <v>0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A243">
            <v>0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A245">
            <v>0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</row>
        <row r="246">
          <cell r="A246">
            <v>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</row>
        <row r="247">
          <cell r="A247">
            <v>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</row>
        <row r="248">
          <cell r="A248">
            <v>0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</row>
        <row r="249">
          <cell r="A249">
            <v>0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A250">
            <v>0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</row>
        <row r="251">
          <cell r="A251">
            <v>0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</row>
        <row r="252">
          <cell r="A252">
            <v>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</row>
        <row r="253">
          <cell r="A253">
            <v>0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</row>
        <row r="254">
          <cell r="A254">
            <v>0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</row>
        <row r="255">
          <cell r="A255">
            <v>0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</row>
        <row r="256">
          <cell r="A256">
            <v>0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</row>
        <row r="257">
          <cell r="A257">
            <v>0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</row>
        <row r="258">
          <cell r="A258">
            <v>0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</row>
        <row r="259">
          <cell r="A259">
            <v>0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</row>
        <row r="260">
          <cell r="A260">
            <v>0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</row>
        <row r="262">
          <cell r="A262">
            <v>0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</row>
        <row r="265">
          <cell r="A265">
            <v>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</row>
        <row r="266">
          <cell r="A266">
            <v>0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</row>
        <row r="274">
          <cell r="A274">
            <v>0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</row>
        <row r="277">
          <cell r="A277">
            <v>0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</row>
        <row r="278">
          <cell r="A278">
            <v>0</v>
          </cell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</row>
        <row r="280">
          <cell r="A280">
            <v>0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</row>
        <row r="282">
          <cell r="A282">
            <v>0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</row>
        <row r="283">
          <cell r="A283">
            <v>0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</row>
        <row r="284">
          <cell r="A284">
            <v>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</row>
        <row r="286">
          <cell r="A286">
            <v>0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</row>
        <row r="287">
          <cell r="A287">
            <v>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</row>
        <row r="288">
          <cell r="A288">
            <v>0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</row>
        <row r="289">
          <cell r="A289">
            <v>0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</row>
        <row r="290">
          <cell r="A290">
            <v>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</row>
        <row r="292">
          <cell r="A292">
            <v>0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</row>
        <row r="293">
          <cell r="A293">
            <v>0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</row>
        <row r="294">
          <cell r="A294">
            <v>0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</row>
        <row r="295">
          <cell r="A295">
            <v>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</row>
        <row r="296">
          <cell r="A296">
            <v>0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</row>
        <row r="297">
          <cell r="A297">
            <v>0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</row>
        <row r="298">
          <cell r="A298">
            <v>0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</row>
        <row r="299">
          <cell r="A299">
            <v>0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</row>
        <row r="300">
          <cell r="A300">
            <v>0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</row>
        <row r="301">
          <cell r="A301">
            <v>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</row>
        <row r="304">
          <cell r="A304">
            <v>0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</row>
        <row r="305">
          <cell r="A305">
            <v>0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</row>
        <row r="306">
          <cell r="A306">
            <v>0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</row>
        <row r="307">
          <cell r="A307">
            <v>0</v>
          </cell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</row>
        <row r="308">
          <cell r="A308">
            <v>0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</row>
        <row r="309">
          <cell r="A309">
            <v>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</row>
        <row r="310">
          <cell r="A310">
            <v>0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</row>
        <row r="311">
          <cell r="A311">
            <v>0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</row>
        <row r="312">
          <cell r="A312">
            <v>0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</row>
        <row r="313">
          <cell r="A313">
            <v>0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</row>
        <row r="314">
          <cell r="A314">
            <v>0</v>
          </cell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</row>
        <row r="315">
          <cell r="A315">
            <v>0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>
            <v>0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</row>
        <row r="317">
          <cell r="A317">
            <v>0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</row>
        <row r="318">
          <cell r="A318">
            <v>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</row>
        <row r="319">
          <cell r="A319">
            <v>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</row>
        <row r="320">
          <cell r="A320">
            <v>0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</row>
        <row r="321">
          <cell r="A321">
            <v>0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</row>
        <row r="322">
          <cell r="A322">
            <v>0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</row>
        <row r="323">
          <cell r="A323">
            <v>0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</row>
        <row r="324">
          <cell r="A324">
            <v>0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</row>
        <row r="325">
          <cell r="A325">
            <v>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</row>
        <row r="330">
          <cell r="A330">
            <v>0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</row>
        <row r="331">
          <cell r="A331">
            <v>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</row>
        <row r="332">
          <cell r="A332">
            <v>0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</row>
        <row r="333">
          <cell r="A333">
            <v>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</row>
        <row r="334">
          <cell r="A334">
            <v>0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</row>
        <row r="335">
          <cell r="A335">
            <v>0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</row>
        <row r="336">
          <cell r="A336">
            <v>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</row>
        <row r="337">
          <cell r="A337">
            <v>0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</row>
        <row r="339">
          <cell r="A339">
            <v>0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</row>
        <row r="340">
          <cell r="A340">
            <v>0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</row>
        <row r="341">
          <cell r="A341">
            <v>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</row>
        <row r="342">
          <cell r="A342">
            <v>0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</row>
        <row r="343">
          <cell r="A343">
            <v>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</row>
        <row r="344">
          <cell r="A344">
            <v>0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</row>
        <row r="345">
          <cell r="A345">
            <v>0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</row>
        <row r="346">
          <cell r="A346">
            <v>0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</row>
        <row r="347">
          <cell r="A347">
            <v>0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</row>
        <row r="348">
          <cell r="A348">
            <v>0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</row>
        <row r="349">
          <cell r="A349">
            <v>0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</row>
        <row r="352">
          <cell r="A352">
            <v>0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</row>
        <row r="353">
          <cell r="A353">
            <v>0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</row>
        <row r="354">
          <cell r="A354">
            <v>0</v>
          </cell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</row>
        <row r="355">
          <cell r="A355">
            <v>0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</row>
        <row r="356">
          <cell r="A356">
            <v>0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</row>
        <row r="357">
          <cell r="A357">
            <v>0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</row>
        <row r="358">
          <cell r="A358">
            <v>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</row>
        <row r="359">
          <cell r="A359">
            <v>0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</row>
        <row r="360">
          <cell r="A360">
            <v>0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>
            <v>0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</row>
        <row r="362">
          <cell r="A362">
            <v>0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</row>
        <row r="363">
          <cell r="A363">
            <v>0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</row>
        <row r="364">
          <cell r="A364">
            <v>0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</row>
        <row r="365">
          <cell r="A365">
            <v>0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</row>
        <row r="366">
          <cell r="A366">
            <v>0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</row>
        <row r="367">
          <cell r="A367">
            <v>0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</row>
        <row r="368">
          <cell r="A368">
            <v>0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</row>
        <row r="369">
          <cell r="A369">
            <v>0</v>
          </cell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</row>
        <row r="370">
          <cell r="A370">
            <v>0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</row>
        <row r="371">
          <cell r="A371">
            <v>0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</row>
        <row r="372">
          <cell r="A372">
            <v>0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</row>
        <row r="373">
          <cell r="A373">
            <v>0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</row>
        <row r="374">
          <cell r="A374">
            <v>0</v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</row>
        <row r="375">
          <cell r="A375">
            <v>0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</row>
        <row r="376">
          <cell r="A376">
            <v>0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</row>
        <row r="377">
          <cell r="A377">
            <v>0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</row>
        <row r="378">
          <cell r="A378">
            <v>0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</row>
        <row r="379">
          <cell r="A379">
            <v>0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</row>
        <row r="380">
          <cell r="A380">
            <v>0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</row>
        <row r="387">
          <cell r="A387">
            <v>0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</row>
        <row r="388">
          <cell r="A388">
            <v>0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</row>
        <row r="389">
          <cell r="A389">
            <v>0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</row>
        <row r="390">
          <cell r="A390">
            <v>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</row>
        <row r="391">
          <cell r="A391">
            <v>0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</row>
        <row r="394">
          <cell r="A394">
            <v>0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</row>
        <row r="395">
          <cell r="A395">
            <v>0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</row>
        <row r="396">
          <cell r="A396">
            <v>0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</row>
        <row r="397">
          <cell r="A397">
            <v>0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</row>
        <row r="402">
          <cell r="A402">
            <v>0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</row>
        <row r="403">
          <cell r="A403">
            <v>0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</row>
        <row r="404">
          <cell r="A404">
            <v>0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</row>
        <row r="406">
          <cell r="A406">
            <v>0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</row>
        <row r="408">
          <cell r="A408">
            <v>0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</row>
        <row r="409">
          <cell r="A409">
            <v>0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</row>
        <row r="410">
          <cell r="A410">
            <v>0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</row>
        <row r="411">
          <cell r="A411">
            <v>0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</row>
        <row r="412">
          <cell r="A412">
            <v>0</v>
          </cell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</row>
        <row r="413">
          <cell r="A413">
            <v>0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</row>
        <row r="414">
          <cell r="A414">
            <v>0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</row>
        <row r="415">
          <cell r="A415">
            <v>0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</row>
        <row r="416">
          <cell r="A416">
            <v>0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</row>
        <row r="417">
          <cell r="A417">
            <v>0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</row>
        <row r="418">
          <cell r="A418">
            <v>0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</row>
        <row r="419">
          <cell r="A419">
            <v>0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</row>
        <row r="420">
          <cell r="A420">
            <v>0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</row>
        <row r="421">
          <cell r="A421">
            <v>0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</row>
        <row r="423">
          <cell r="A423">
            <v>0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</row>
        <row r="424">
          <cell r="A424">
            <v>0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</row>
        <row r="425">
          <cell r="A425">
            <v>0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</row>
        <row r="426">
          <cell r="A426">
            <v>0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</row>
        <row r="428">
          <cell r="A428">
            <v>0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</row>
        <row r="429">
          <cell r="A429">
            <v>0</v>
          </cell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</row>
        <row r="430">
          <cell r="A430">
            <v>0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</row>
        <row r="431">
          <cell r="A431">
            <v>0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</row>
        <row r="432">
          <cell r="A432">
            <v>0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</row>
        <row r="433">
          <cell r="A433">
            <v>0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</row>
        <row r="435">
          <cell r="A435">
            <v>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</row>
        <row r="436">
          <cell r="A436">
            <v>0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</row>
        <row r="437">
          <cell r="A437">
            <v>0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</row>
        <row r="439">
          <cell r="A439">
            <v>0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</row>
        <row r="442">
          <cell r="A442">
            <v>0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</row>
        <row r="444">
          <cell r="A444">
            <v>0</v>
          </cell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</row>
        <row r="446">
          <cell r="A446">
            <v>0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</row>
        <row r="447">
          <cell r="A447">
            <v>0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</row>
        <row r="448">
          <cell r="A448">
            <v>0</v>
          </cell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</row>
        <row r="450">
          <cell r="A450">
            <v>0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</row>
        <row r="451">
          <cell r="A451">
            <v>0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</row>
        <row r="452">
          <cell r="A452">
            <v>0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</row>
        <row r="454">
          <cell r="A454">
            <v>0</v>
          </cell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</row>
        <row r="455">
          <cell r="A455">
            <v>0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</row>
        <row r="456">
          <cell r="A456">
            <v>0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</row>
        <row r="457">
          <cell r="A457">
            <v>0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</row>
        <row r="458">
          <cell r="A458">
            <v>0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</row>
        <row r="460">
          <cell r="A460">
            <v>0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</row>
        <row r="461">
          <cell r="A461">
            <v>0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</row>
        <row r="462">
          <cell r="A462">
            <v>0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</row>
        <row r="463">
          <cell r="A463">
            <v>0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</row>
        <row r="548">
          <cell r="A548">
            <v>0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</row>
        <row r="549">
          <cell r="A549">
            <v>0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</row>
        <row r="550">
          <cell r="A550">
            <v>0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</row>
        <row r="551">
          <cell r="A551">
            <v>0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</row>
        <row r="553">
          <cell r="A553">
            <v>0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</row>
        <row r="554">
          <cell r="A554">
            <v>0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</row>
        <row r="555">
          <cell r="A555">
            <v>0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</row>
        <row r="557">
          <cell r="A557">
            <v>0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</row>
        <row r="558">
          <cell r="A558">
            <v>0</v>
          </cell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</row>
        <row r="559">
          <cell r="A559">
            <v>0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</row>
        <row r="561">
          <cell r="A561">
            <v>0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</row>
        <row r="562">
          <cell r="A562">
            <v>0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</row>
        <row r="563">
          <cell r="A563">
            <v>0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</row>
        <row r="564">
          <cell r="A564">
            <v>0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</row>
        <row r="565">
          <cell r="A565">
            <v>0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</row>
        <row r="566">
          <cell r="A566">
            <v>0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</row>
        <row r="567">
          <cell r="A567">
            <v>0</v>
          </cell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</row>
        <row r="568">
          <cell r="A568">
            <v>0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</row>
        <row r="569">
          <cell r="A569">
            <v>0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</row>
        <row r="570">
          <cell r="A570">
            <v>0</v>
          </cell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</row>
        <row r="571">
          <cell r="A571">
            <v>0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</row>
        <row r="573">
          <cell r="A573">
            <v>0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</row>
        <row r="574">
          <cell r="A574">
            <v>0</v>
          </cell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</row>
        <row r="575">
          <cell r="A575">
            <v>0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</row>
        <row r="576">
          <cell r="A576">
            <v>0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</row>
        <row r="577">
          <cell r="A577">
            <v>0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</row>
        <row r="578">
          <cell r="A578">
            <v>0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</row>
        <row r="579">
          <cell r="A579">
            <v>0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</row>
        <row r="580">
          <cell r="A580">
            <v>0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</row>
        <row r="581">
          <cell r="A581">
            <v>0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</row>
        <row r="582">
          <cell r="A582">
            <v>0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</row>
        <row r="583">
          <cell r="A583">
            <v>0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</row>
        <row r="584">
          <cell r="A584">
            <v>0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</row>
        <row r="586">
          <cell r="A586">
            <v>0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</row>
        <row r="589">
          <cell r="A589">
            <v>0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</row>
        <row r="590">
          <cell r="A590">
            <v>0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</row>
        <row r="591">
          <cell r="A591">
            <v>0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</row>
        <row r="592">
          <cell r="A592">
            <v>0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</row>
        <row r="593">
          <cell r="A593">
            <v>0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</row>
        <row r="594">
          <cell r="A594">
            <v>0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</row>
        <row r="595">
          <cell r="A595">
            <v>0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</row>
        <row r="596">
          <cell r="A596">
            <v>0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</row>
        <row r="597">
          <cell r="A597">
            <v>0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</row>
        <row r="598">
          <cell r="A598">
            <v>0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</row>
        <row r="601">
          <cell r="A601">
            <v>0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</row>
        <row r="602">
          <cell r="A602">
            <v>0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</row>
        <row r="606">
          <cell r="A606">
            <v>0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</row>
        <row r="607">
          <cell r="A607">
            <v>0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</row>
        <row r="608">
          <cell r="A608">
            <v>0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</row>
        <row r="609">
          <cell r="A609">
            <v>0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</row>
        <row r="610">
          <cell r="A610">
            <v>0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</row>
        <row r="611">
          <cell r="A611">
            <v>0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</row>
        <row r="613">
          <cell r="A613">
            <v>0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</row>
        <row r="614">
          <cell r="A614">
            <v>0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</row>
        <row r="615">
          <cell r="A615">
            <v>0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</row>
        <row r="617">
          <cell r="A617">
            <v>0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</row>
        <row r="618">
          <cell r="A618">
            <v>0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</row>
        <row r="619">
          <cell r="A619">
            <v>0</v>
          </cell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</row>
        <row r="621">
          <cell r="A621">
            <v>0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</row>
        <row r="622">
          <cell r="A622">
            <v>0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</row>
        <row r="623">
          <cell r="A623">
            <v>0</v>
          </cell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</row>
        <row r="624">
          <cell r="A624">
            <v>0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</row>
        <row r="625">
          <cell r="A625">
            <v>0</v>
          </cell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</row>
        <row r="626">
          <cell r="A626">
            <v>0</v>
          </cell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</row>
        <row r="627">
          <cell r="A627">
            <v>0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</row>
        <row r="628">
          <cell r="A628">
            <v>0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</row>
        <row r="629">
          <cell r="A629">
            <v>0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</row>
        <row r="631">
          <cell r="A631">
            <v>0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</row>
        <row r="632">
          <cell r="A632">
            <v>0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</row>
        <row r="633">
          <cell r="A633">
            <v>0</v>
          </cell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</row>
        <row r="635">
          <cell r="A635">
            <v>0</v>
          </cell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</row>
        <row r="636">
          <cell r="A636">
            <v>0</v>
          </cell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</row>
        <row r="637">
          <cell r="A637">
            <v>0</v>
          </cell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</row>
        <row r="638">
          <cell r="A638">
            <v>0</v>
          </cell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</row>
        <row r="639">
          <cell r="A639">
            <v>0</v>
          </cell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</row>
        <row r="641">
          <cell r="A641">
            <v>0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</row>
        <row r="642">
          <cell r="A642">
            <v>0</v>
          </cell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</row>
        <row r="643">
          <cell r="A643">
            <v>0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</row>
        <row r="644">
          <cell r="A644">
            <v>0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</row>
        <row r="645">
          <cell r="A645">
            <v>0</v>
          </cell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</row>
        <row r="646">
          <cell r="A646">
            <v>0</v>
          </cell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</row>
        <row r="647">
          <cell r="A647">
            <v>0</v>
          </cell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</row>
        <row r="648">
          <cell r="A648">
            <v>0</v>
          </cell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</row>
        <row r="649">
          <cell r="A649">
            <v>0</v>
          </cell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</row>
        <row r="650">
          <cell r="A650">
            <v>0</v>
          </cell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</row>
        <row r="652">
          <cell r="A652">
            <v>0</v>
          </cell>
          <cell r="B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</row>
        <row r="653">
          <cell r="A653">
            <v>0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</row>
        <row r="654">
          <cell r="A654">
            <v>0</v>
          </cell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</row>
        <row r="655">
          <cell r="A655">
            <v>0</v>
          </cell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</row>
        <row r="656">
          <cell r="A656">
            <v>0</v>
          </cell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</row>
        <row r="657">
          <cell r="A657">
            <v>0</v>
          </cell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</row>
        <row r="658">
          <cell r="A658">
            <v>0</v>
          </cell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</row>
        <row r="659">
          <cell r="A659">
            <v>0</v>
          </cell>
          <cell r="B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M659">
            <v>0</v>
          </cell>
        </row>
        <row r="660">
          <cell r="A660">
            <v>0</v>
          </cell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</row>
        <row r="661">
          <cell r="A661">
            <v>0</v>
          </cell>
          <cell r="B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M661">
            <v>0</v>
          </cell>
        </row>
        <row r="662">
          <cell r="A662">
            <v>0</v>
          </cell>
          <cell r="B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M662">
            <v>0</v>
          </cell>
        </row>
        <row r="663">
          <cell r="A663">
            <v>0</v>
          </cell>
          <cell r="B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M663">
            <v>0</v>
          </cell>
        </row>
        <row r="664">
          <cell r="A664">
            <v>0</v>
          </cell>
          <cell r="B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M664">
            <v>0</v>
          </cell>
        </row>
        <row r="665">
          <cell r="A665">
            <v>0</v>
          </cell>
          <cell r="B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M665">
            <v>0</v>
          </cell>
        </row>
        <row r="666">
          <cell r="A666">
            <v>0</v>
          </cell>
          <cell r="B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M666">
            <v>0</v>
          </cell>
        </row>
        <row r="667">
          <cell r="A667">
            <v>0</v>
          </cell>
          <cell r="B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</row>
        <row r="668">
          <cell r="A668">
            <v>0</v>
          </cell>
          <cell r="B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</row>
        <row r="669">
          <cell r="A669">
            <v>0</v>
          </cell>
          <cell r="B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</row>
        <row r="670">
          <cell r="A670">
            <v>0</v>
          </cell>
          <cell r="B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</row>
        <row r="671">
          <cell r="A671">
            <v>0</v>
          </cell>
          <cell r="B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</row>
        <row r="672">
          <cell r="A672">
            <v>0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</row>
        <row r="673">
          <cell r="A673">
            <v>0</v>
          </cell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</row>
        <row r="674">
          <cell r="A674">
            <v>0</v>
          </cell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</row>
        <row r="675">
          <cell r="A675">
            <v>0</v>
          </cell>
          <cell r="B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</row>
        <row r="676">
          <cell r="A676">
            <v>0</v>
          </cell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A677">
            <v>0</v>
          </cell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</row>
        <row r="678">
          <cell r="A678">
            <v>0</v>
          </cell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</row>
        <row r="680">
          <cell r="A680">
            <v>0</v>
          </cell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</row>
        <row r="681">
          <cell r="A681">
            <v>0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</row>
        <row r="682">
          <cell r="A682">
            <v>0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</row>
        <row r="683">
          <cell r="A683">
            <v>0</v>
          </cell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</row>
        <row r="684">
          <cell r="A684">
            <v>0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</row>
        <row r="687">
          <cell r="A687">
            <v>0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</row>
        <row r="698">
          <cell r="A698">
            <v>0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</row>
      </sheetData>
      <sheetData sheetId="2">
        <row r="1">
          <cell r="A1" t="str">
            <v>DANH MỤC VẬT LIỆU, SẢN PHẨM, HÀNG HOÁ (VLSPHH)</v>
          </cell>
        </row>
      </sheetData>
      <sheetData sheetId="3">
        <row r="1">
          <cell r="A1" t="str">
            <v>DANH MỤC VẬT LIỆU, SẢN PHẨM, HÀNG HOÁ (VLSPHH)</v>
          </cell>
        </row>
      </sheetData>
      <sheetData sheetId="4">
        <row r="1">
          <cell r="A1" t="str">
            <v>DANH MỤC VẬT LIỆU, SẢN PHẨM, HÀNG HOÁ (VLSPHH)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ipment"/>
      <sheetName val="CMA items"/>
    </sheetNames>
    <sheetDataSet>
      <sheetData sheetId="0" refreshError="1"/>
      <sheetData sheetId="1">
        <row r="1">
          <cell r="B1" t="str">
            <v>618-076-2C</v>
          </cell>
          <cell r="C1" t="str">
            <v>K1216E</v>
          </cell>
          <cell r="D1" t="str">
            <v>BED</v>
          </cell>
          <cell r="E1">
            <v>1000</v>
          </cell>
        </row>
        <row r="2">
          <cell r="B2" t="str">
            <v>618-076-11</v>
          </cell>
          <cell r="C2" t="str">
            <v>K1216E</v>
          </cell>
          <cell r="D2" t="str">
            <v>BED</v>
          </cell>
          <cell r="E2">
            <v>1000</v>
          </cell>
        </row>
        <row r="3">
          <cell r="B3" t="str">
            <v>618-081-4C</v>
          </cell>
          <cell r="C3" t="str">
            <v>L12</v>
          </cell>
          <cell r="D3" t="str">
            <v>RM BODY</v>
          </cell>
          <cell r="E3">
            <v>872</v>
          </cell>
        </row>
        <row r="4">
          <cell r="B4" t="str">
            <v>617-107-1C</v>
          </cell>
          <cell r="C4" t="str">
            <v>B1216E</v>
          </cell>
          <cell r="D4" t="str">
            <v>RM BODY</v>
          </cell>
          <cell r="E4">
            <v>523</v>
          </cell>
        </row>
        <row r="5">
          <cell r="B5" t="str">
            <v>618-084-2C</v>
          </cell>
          <cell r="C5" t="str">
            <v>L220E</v>
          </cell>
          <cell r="D5" t="str">
            <v>BED</v>
          </cell>
          <cell r="E5">
            <v>1170</v>
          </cell>
        </row>
        <row r="6">
          <cell r="B6" t="str">
            <v>618-084-13</v>
          </cell>
          <cell r="C6" t="str">
            <v>L220E</v>
          </cell>
          <cell r="D6" t="str">
            <v>BED</v>
          </cell>
          <cell r="E6">
            <v>1170</v>
          </cell>
        </row>
        <row r="7">
          <cell r="B7" t="str">
            <v>618-087-2C</v>
          </cell>
          <cell r="C7" t="str">
            <v>L32</v>
          </cell>
          <cell r="D7" t="str">
            <v>BED</v>
          </cell>
          <cell r="E7">
            <v>1375</v>
          </cell>
        </row>
        <row r="8">
          <cell r="B8" t="str">
            <v>618-1001-4C</v>
          </cell>
          <cell r="C8" t="str">
            <v>L212</v>
          </cell>
          <cell r="D8" t="str">
            <v>BED</v>
          </cell>
          <cell r="E8">
            <v>1165</v>
          </cell>
        </row>
        <row r="9">
          <cell r="B9" t="str">
            <v>615-408-1C</v>
          </cell>
          <cell r="C9" t="str">
            <v>L200E</v>
          </cell>
          <cell r="D9" t="str">
            <v>1/2～2/2/BACK HEAD STOCK</v>
          </cell>
          <cell r="E9">
            <v>9.5</v>
          </cell>
        </row>
        <row r="10">
          <cell r="B10" t="str">
            <v>615-408-2A</v>
          </cell>
          <cell r="C10" t="str">
            <v>L20E</v>
          </cell>
          <cell r="D10" t="str">
            <v>1/2～2/2/BACK HEAD STOCK</v>
          </cell>
          <cell r="E10">
            <v>9.5</v>
          </cell>
        </row>
        <row r="11">
          <cell r="B11" t="str">
            <v>615-209-1C</v>
          </cell>
          <cell r="C11" t="str">
            <v>L20E</v>
          </cell>
          <cell r="D11" t="str">
            <v>HEAD STOCK BRACKET</v>
          </cell>
          <cell r="E11">
            <v>8.5</v>
          </cell>
        </row>
        <row r="12">
          <cell r="B12" t="str">
            <v>615-209-1A</v>
          </cell>
          <cell r="C12" t="str">
            <v>L20E</v>
          </cell>
          <cell r="D12" t="str">
            <v>HEAD STOCK BRACKET</v>
          </cell>
          <cell r="E12">
            <v>8.5</v>
          </cell>
        </row>
        <row r="13">
          <cell r="B13" t="str">
            <v>617-057-3C</v>
          </cell>
          <cell r="C13" t="str">
            <v>L20E</v>
          </cell>
          <cell r="D13" t="str">
            <v>GUIDE BUSH BODY</v>
          </cell>
          <cell r="E13">
            <v>17.5</v>
          </cell>
        </row>
        <row r="14">
          <cell r="B14" t="str">
            <v>617-057-10A</v>
          </cell>
          <cell r="C14" t="str">
            <v>L20E</v>
          </cell>
          <cell r="D14" t="str">
            <v>GUIDE BUSH BODY</v>
          </cell>
          <cell r="E14">
            <v>17.5</v>
          </cell>
        </row>
        <row r="15">
          <cell r="B15" t="str">
            <v>615-412C</v>
          </cell>
          <cell r="C15" t="str">
            <v>K1216E</v>
          </cell>
          <cell r="D15" t="str">
            <v>Z2 SLIDE</v>
          </cell>
          <cell r="E15">
            <v>19</v>
          </cell>
        </row>
        <row r="16">
          <cell r="B16" t="str">
            <v>613-226-3C</v>
          </cell>
          <cell r="C16" t="str">
            <v>K1216E</v>
          </cell>
          <cell r="D16" t="str">
            <v>MOTOR BRACKET</v>
          </cell>
          <cell r="E16">
            <v>6</v>
          </cell>
        </row>
        <row r="17">
          <cell r="B17" t="str">
            <v>615-433C</v>
          </cell>
          <cell r="C17" t="str">
            <v>K1216E</v>
          </cell>
          <cell r="D17" t="str">
            <v>BRACKET</v>
          </cell>
          <cell r="E17">
            <v>8</v>
          </cell>
        </row>
        <row r="18">
          <cell r="B18" t="str">
            <v>616-347C</v>
          </cell>
          <cell r="C18" t="str">
            <v>K1216E</v>
          </cell>
          <cell r="D18" t="str">
            <v>HEAD STOCK</v>
          </cell>
          <cell r="E18">
            <v>26</v>
          </cell>
        </row>
        <row r="19">
          <cell r="B19" t="str">
            <v>614-273-1C</v>
          </cell>
          <cell r="C19" t="str">
            <v>K1216E</v>
          </cell>
          <cell r="D19" t="str">
            <v>BRACKET</v>
          </cell>
          <cell r="E19">
            <v>6</v>
          </cell>
        </row>
        <row r="20">
          <cell r="B20" t="str">
            <v>616-350C</v>
          </cell>
          <cell r="C20" t="str">
            <v>K1216E</v>
          </cell>
          <cell r="D20" t="str">
            <v>X SLIDE</v>
          </cell>
          <cell r="E20">
            <v>31</v>
          </cell>
        </row>
        <row r="21">
          <cell r="B21" t="str">
            <v>615-236-6C</v>
          </cell>
          <cell r="C21" t="str">
            <v>BL12</v>
          </cell>
          <cell r="D21" t="str">
            <v>SLIDE BASE</v>
          </cell>
          <cell r="E21">
            <v>17.5</v>
          </cell>
        </row>
        <row r="22">
          <cell r="B22" t="str">
            <v>616-188-5C</v>
          </cell>
          <cell r="C22" t="str">
            <v>BL12</v>
          </cell>
          <cell r="D22" t="str">
            <v>CROSSLIDE</v>
          </cell>
          <cell r="E22">
            <v>35</v>
          </cell>
        </row>
        <row r="23">
          <cell r="B23" t="str">
            <v>614-187-6C</v>
          </cell>
          <cell r="C23" t="str">
            <v>BL12</v>
          </cell>
          <cell r="D23" t="str">
            <v>Y1 SLIDE</v>
          </cell>
          <cell r="E23">
            <v>7</v>
          </cell>
        </row>
        <row r="24">
          <cell r="B24" t="str">
            <v>613-166C</v>
          </cell>
          <cell r="C24" t="str">
            <v>BL12</v>
          </cell>
          <cell r="D24" t="str">
            <v>SEAT</v>
          </cell>
          <cell r="E24">
            <v>1.8</v>
          </cell>
        </row>
        <row r="25">
          <cell r="B25" t="str">
            <v>615-471C</v>
          </cell>
          <cell r="C25" t="str">
            <v>B1216E</v>
          </cell>
          <cell r="D25" t="str">
            <v>HEAD STOCK</v>
          </cell>
          <cell r="E25">
            <v>35.5</v>
          </cell>
        </row>
        <row r="26">
          <cell r="B26" t="str">
            <v>617-106-1C</v>
          </cell>
          <cell r="C26" t="str">
            <v>B1216E</v>
          </cell>
          <cell r="D26" t="str">
            <v>TOOL POST</v>
          </cell>
          <cell r="E26">
            <v>94</v>
          </cell>
        </row>
        <row r="27">
          <cell r="B27" t="str">
            <v>616-157C</v>
          </cell>
          <cell r="C27" t="str">
            <v>B1216E</v>
          </cell>
          <cell r="D27" t="str">
            <v>X-SLIDE</v>
          </cell>
          <cell r="E27">
            <v>11.5</v>
          </cell>
        </row>
        <row r="28">
          <cell r="B28" t="str">
            <v>616-240C</v>
          </cell>
          <cell r="C28" t="str">
            <v>B1216E</v>
          </cell>
          <cell r="D28" t="str">
            <v>CROSS SLIDE</v>
          </cell>
          <cell r="E28">
            <v>31</v>
          </cell>
        </row>
        <row r="29">
          <cell r="B29" t="str">
            <v>616-370-1C</v>
          </cell>
          <cell r="C29" t="str">
            <v>B1216E</v>
          </cell>
          <cell r="D29" t="str">
            <v>BRACKET</v>
          </cell>
          <cell r="E29">
            <v>33.5</v>
          </cell>
        </row>
        <row r="30">
          <cell r="B30" t="str">
            <v>615-200C</v>
          </cell>
          <cell r="C30" t="str">
            <v>B1216E</v>
          </cell>
          <cell r="D30" t="str">
            <v>SLIDE BASE</v>
          </cell>
          <cell r="E30">
            <v>10.5</v>
          </cell>
        </row>
        <row r="31">
          <cell r="B31" t="str">
            <v>615-468-2C</v>
          </cell>
          <cell r="C31" t="str">
            <v>L12</v>
          </cell>
          <cell r="D31" t="str">
            <v>HEAD STOCK</v>
          </cell>
          <cell r="E31">
            <v>37.5</v>
          </cell>
        </row>
        <row r="32">
          <cell r="B32" t="str">
            <v>615-464-2C</v>
          </cell>
          <cell r="C32" t="str">
            <v>L12</v>
          </cell>
          <cell r="D32" t="str">
            <v>X SLIDE</v>
          </cell>
          <cell r="E32">
            <v>18</v>
          </cell>
        </row>
        <row r="33">
          <cell r="B33" t="str">
            <v>616-388C</v>
          </cell>
          <cell r="C33" t="str">
            <v>L12</v>
          </cell>
          <cell r="D33" t="str">
            <v>HEAD STOCK</v>
          </cell>
          <cell r="E33">
            <v>17</v>
          </cell>
        </row>
        <row r="34">
          <cell r="B34" t="str">
            <v>616-388-6A</v>
          </cell>
          <cell r="C34" t="str">
            <v>L12</v>
          </cell>
          <cell r="D34" t="str">
            <v>HEAD STOCK</v>
          </cell>
          <cell r="E34">
            <v>17</v>
          </cell>
        </row>
        <row r="35">
          <cell r="B35" t="str">
            <v>614-290C</v>
          </cell>
          <cell r="C35" t="str">
            <v>L12</v>
          </cell>
          <cell r="D35" t="str">
            <v>LEVER BRACKET</v>
          </cell>
          <cell r="E35">
            <v>3</v>
          </cell>
        </row>
        <row r="36">
          <cell r="B36" t="str">
            <v>614-272-1C</v>
          </cell>
          <cell r="C36" t="str">
            <v>L12</v>
          </cell>
          <cell r="D36" t="str">
            <v>CHUCKING LEVER</v>
          </cell>
          <cell r="E36">
            <v>2</v>
          </cell>
        </row>
        <row r="37">
          <cell r="B37" t="str">
            <v>613-238-2C</v>
          </cell>
          <cell r="C37" t="str">
            <v>L12</v>
          </cell>
          <cell r="D37" t="str">
            <v>MOTOR BRACKET</v>
          </cell>
          <cell r="E37">
            <v>6</v>
          </cell>
        </row>
        <row r="38">
          <cell r="B38" t="str">
            <v>616-385C</v>
          </cell>
          <cell r="C38" t="str">
            <v>L12</v>
          </cell>
          <cell r="D38" t="str">
            <v>BRACKET</v>
          </cell>
          <cell r="E38">
            <v>10</v>
          </cell>
        </row>
        <row r="39">
          <cell r="B39" t="str">
            <v>615-467-1C</v>
          </cell>
          <cell r="C39" t="str">
            <v>L12</v>
          </cell>
          <cell r="D39" t="str">
            <v>BRACKET</v>
          </cell>
          <cell r="E39">
            <v>10</v>
          </cell>
        </row>
        <row r="40">
          <cell r="B40" t="str">
            <v>614-285-2C</v>
          </cell>
          <cell r="C40" t="str">
            <v>L12</v>
          </cell>
          <cell r="D40" t="str">
            <v>Z2 SLIDE</v>
          </cell>
          <cell r="E40">
            <v>9</v>
          </cell>
        </row>
        <row r="41">
          <cell r="B41" t="str">
            <v>614-286-1C</v>
          </cell>
          <cell r="C41" t="str">
            <v>L12</v>
          </cell>
          <cell r="D41" t="str">
            <v>BRACKET</v>
          </cell>
          <cell r="E41">
            <v>6</v>
          </cell>
        </row>
        <row r="42">
          <cell r="B42" t="str">
            <v>614-287-1C</v>
          </cell>
          <cell r="C42" t="str">
            <v>L12</v>
          </cell>
          <cell r="D42" t="str">
            <v>SLEEVE HOLDER</v>
          </cell>
          <cell r="E42">
            <v>13</v>
          </cell>
        </row>
        <row r="43">
          <cell r="B43" t="str">
            <v>614-220C</v>
          </cell>
          <cell r="C43" t="str">
            <v>L12</v>
          </cell>
          <cell r="D43" t="str">
            <v>CHUCKING LEVER</v>
          </cell>
          <cell r="E43">
            <v>2</v>
          </cell>
        </row>
        <row r="44">
          <cell r="B44" t="str">
            <v>616-386-1C</v>
          </cell>
          <cell r="C44" t="str">
            <v>L12</v>
          </cell>
          <cell r="D44" t="str">
            <v>CROSS SLIDE</v>
          </cell>
          <cell r="E44">
            <v>22</v>
          </cell>
        </row>
        <row r="45">
          <cell r="B45" t="str">
            <v>616-386-4A</v>
          </cell>
          <cell r="C45" t="str">
            <v>L12</v>
          </cell>
          <cell r="D45" t="str">
            <v>CROSS SLIDE</v>
          </cell>
          <cell r="E45">
            <v>22</v>
          </cell>
        </row>
        <row r="46">
          <cell r="B46" t="str">
            <v>616-387-3C</v>
          </cell>
          <cell r="C46" t="str">
            <v>L12</v>
          </cell>
          <cell r="D46" t="str">
            <v>CROSS SLIDE</v>
          </cell>
          <cell r="E46">
            <v>26</v>
          </cell>
        </row>
        <row r="47">
          <cell r="B47" t="str">
            <v>617-112-1C</v>
          </cell>
          <cell r="C47" t="str">
            <v>L12</v>
          </cell>
          <cell r="D47" t="str">
            <v>TOOL POST</v>
          </cell>
          <cell r="E47">
            <v>126</v>
          </cell>
        </row>
        <row r="48">
          <cell r="B48" t="str">
            <v>617-112-5A</v>
          </cell>
          <cell r="C48" t="str">
            <v>L12</v>
          </cell>
          <cell r="D48" t="str">
            <v>TOOL POST</v>
          </cell>
          <cell r="E48">
            <v>126</v>
          </cell>
        </row>
        <row r="49">
          <cell r="B49" t="str">
            <v>613-256-2C</v>
          </cell>
          <cell r="C49" t="str">
            <v>L12</v>
          </cell>
          <cell r="D49" t="str">
            <v>MOTOR BRACKET</v>
          </cell>
          <cell r="E49">
            <v>7.5</v>
          </cell>
        </row>
        <row r="50">
          <cell r="B50" t="str">
            <v>615-465C</v>
          </cell>
          <cell r="C50" t="str">
            <v>L12</v>
          </cell>
          <cell r="D50" t="str">
            <v>SLEEVE HOLDER</v>
          </cell>
          <cell r="E50">
            <v>6</v>
          </cell>
        </row>
        <row r="51">
          <cell r="B51" t="str">
            <v>614-291-1C</v>
          </cell>
          <cell r="C51" t="str">
            <v>L220E</v>
          </cell>
          <cell r="D51" t="str">
            <v>BASE</v>
          </cell>
          <cell r="E51">
            <v>7</v>
          </cell>
        </row>
        <row r="52">
          <cell r="B52" t="str">
            <v>614-291-4A</v>
          </cell>
          <cell r="C52" t="str">
            <v>L220E</v>
          </cell>
          <cell r="D52" t="str">
            <v>BASE</v>
          </cell>
          <cell r="E52">
            <v>7</v>
          </cell>
        </row>
        <row r="53">
          <cell r="B53" t="str">
            <v>615-486C</v>
          </cell>
          <cell r="C53" t="str">
            <v>L220E</v>
          </cell>
          <cell r="D53" t="str">
            <v>X SLIDE</v>
          </cell>
          <cell r="E53">
            <v>16</v>
          </cell>
        </row>
        <row r="54">
          <cell r="B54" t="str">
            <v>615-486-12A</v>
          </cell>
          <cell r="C54" t="str">
            <v>L220E</v>
          </cell>
          <cell r="D54" t="str">
            <v>X SLIDE</v>
          </cell>
          <cell r="E54">
            <v>16</v>
          </cell>
        </row>
        <row r="55">
          <cell r="B55" t="str">
            <v>617-118-2C</v>
          </cell>
          <cell r="C55" t="str">
            <v>L220E</v>
          </cell>
          <cell r="D55" t="str">
            <v>CROSS SLIDE</v>
          </cell>
          <cell r="E55">
            <v>37</v>
          </cell>
        </row>
        <row r="56">
          <cell r="B56" t="str">
            <v>617-118-7A</v>
          </cell>
          <cell r="C56" t="str">
            <v>L220E</v>
          </cell>
          <cell r="D56" t="str">
            <v>CROSS SLIDE</v>
          </cell>
          <cell r="E56">
            <v>37</v>
          </cell>
        </row>
        <row r="57">
          <cell r="B57" t="str">
            <v>616-413-3A</v>
          </cell>
          <cell r="C57" t="str">
            <v>L220E</v>
          </cell>
          <cell r="D57" t="str">
            <v>HEAD STOCK</v>
          </cell>
          <cell r="E57">
            <v>43</v>
          </cell>
        </row>
        <row r="58">
          <cell r="B58" t="str">
            <v>615-478C</v>
          </cell>
          <cell r="C58" t="str">
            <v>L220E</v>
          </cell>
          <cell r="D58" t="str">
            <v>Z2 SLIDE</v>
          </cell>
          <cell r="E58">
            <v>30</v>
          </cell>
        </row>
        <row r="59">
          <cell r="B59" t="str">
            <v>615-478-4A</v>
          </cell>
          <cell r="C59" t="str">
            <v>L220E</v>
          </cell>
          <cell r="D59" t="str">
            <v>Z2 SLIDE</v>
          </cell>
          <cell r="E59">
            <v>30</v>
          </cell>
        </row>
        <row r="60">
          <cell r="B60" t="str">
            <v>615-511C</v>
          </cell>
          <cell r="C60" t="str">
            <v>L220E</v>
          </cell>
          <cell r="D60" t="str">
            <v>HEAD STOCK</v>
          </cell>
          <cell r="E60">
            <v>36</v>
          </cell>
        </row>
        <row r="61">
          <cell r="B61" t="str">
            <v>615-511-5A</v>
          </cell>
          <cell r="C61" t="str">
            <v>L220E</v>
          </cell>
          <cell r="D61" t="str">
            <v>HEAD STOCK</v>
          </cell>
          <cell r="E61">
            <v>36</v>
          </cell>
        </row>
        <row r="62">
          <cell r="B62" t="str">
            <v>617-117-2C</v>
          </cell>
          <cell r="C62" t="str">
            <v>L220E</v>
          </cell>
          <cell r="D62" t="str">
            <v>TOOL POST</v>
          </cell>
          <cell r="E62">
            <v>144</v>
          </cell>
        </row>
        <row r="63">
          <cell r="B63" t="str">
            <v>617-117-17A</v>
          </cell>
          <cell r="C63" t="str">
            <v>L220E</v>
          </cell>
          <cell r="D63" t="str">
            <v>TOOL POST</v>
          </cell>
          <cell r="E63">
            <v>144</v>
          </cell>
        </row>
        <row r="64">
          <cell r="B64" t="str">
            <v>616-413-1C</v>
          </cell>
          <cell r="C64" t="str">
            <v>L220E</v>
          </cell>
          <cell r="D64" t="str">
            <v>HEAD STOCK</v>
          </cell>
          <cell r="E64">
            <v>43</v>
          </cell>
        </row>
        <row r="65">
          <cell r="B65" t="str">
            <v>617-116-3C</v>
          </cell>
          <cell r="C65" t="str">
            <v>L220E</v>
          </cell>
          <cell r="D65" t="str">
            <v>CROSS SLIDE</v>
          </cell>
          <cell r="E65">
            <v>46</v>
          </cell>
        </row>
        <row r="66">
          <cell r="B66" t="str">
            <v>617-116-9A</v>
          </cell>
          <cell r="C66" t="str">
            <v>L220E</v>
          </cell>
          <cell r="D66" t="str">
            <v>CROSS SLIDE</v>
          </cell>
          <cell r="E66">
            <v>46</v>
          </cell>
        </row>
        <row r="67">
          <cell r="B67" t="str">
            <v>615-484C</v>
          </cell>
          <cell r="C67" t="str">
            <v>L220E</v>
          </cell>
          <cell r="D67" t="str">
            <v>Z2 SLIDE</v>
          </cell>
          <cell r="E67">
            <v>20</v>
          </cell>
        </row>
        <row r="68">
          <cell r="B68" t="str">
            <v>615-484-3A</v>
          </cell>
          <cell r="C68" t="str">
            <v>L220E</v>
          </cell>
          <cell r="D68" t="str">
            <v>Z2 SLIDE</v>
          </cell>
          <cell r="E68">
            <v>20</v>
          </cell>
        </row>
        <row r="69">
          <cell r="B69" t="str">
            <v>615-507-2C</v>
          </cell>
          <cell r="C69" t="str">
            <v>L220E</v>
          </cell>
          <cell r="D69" t="str">
            <v>HEAD STOCK</v>
          </cell>
          <cell r="E69">
            <v>35</v>
          </cell>
        </row>
        <row r="70">
          <cell r="B70" t="str">
            <v>615-507-8A</v>
          </cell>
          <cell r="C70" t="str">
            <v>L220E</v>
          </cell>
          <cell r="D70" t="str">
            <v>HEAD STOCK</v>
          </cell>
          <cell r="E70">
            <v>35</v>
          </cell>
        </row>
        <row r="71">
          <cell r="B71" t="str">
            <v>616-354-3C</v>
          </cell>
          <cell r="C71" t="str">
            <v>L220E</v>
          </cell>
          <cell r="D71" t="str">
            <v>Y2 SLIDE BASE</v>
          </cell>
          <cell r="E71">
            <v>35</v>
          </cell>
        </row>
        <row r="72">
          <cell r="B72" t="str">
            <v>615-509C</v>
          </cell>
          <cell r="C72" t="str">
            <v>A320N</v>
          </cell>
          <cell r="D72" t="str">
            <v>HEAD STOCK</v>
          </cell>
          <cell r="E72">
            <v>42</v>
          </cell>
        </row>
        <row r="73">
          <cell r="B73" t="str">
            <v>615-509-4A</v>
          </cell>
          <cell r="C73" t="str">
            <v>A320N</v>
          </cell>
          <cell r="D73" t="str">
            <v>HEAD STOCK</v>
          </cell>
          <cell r="E73">
            <v>42</v>
          </cell>
        </row>
        <row r="74">
          <cell r="B74" t="str">
            <v>615-509-5A</v>
          </cell>
          <cell r="C74" t="str">
            <v>A320N</v>
          </cell>
          <cell r="D74" t="str">
            <v>HEAD STOCK</v>
          </cell>
          <cell r="E74">
            <v>42</v>
          </cell>
        </row>
        <row r="75">
          <cell r="B75" t="str">
            <v>617-115-1C</v>
          </cell>
          <cell r="C75" t="str">
            <v>A320N</v>
          </cell>
          <cell r="D75" t="str">
            <v>TOOL POST</v>
          </cell>
          <cell r="E75">
            <v>141</v>
          </cell>
        </row>
        <row r="76">
          <cell r="B76" t="str">
            <v>617-123-5A</v>
          </cell>
          <cell r="C76" t="str">
            <v>A320N</v>
          </cell>
          <cell r="D76" t="str">
            <v>TOOL POST</v>
          </cell>
          <cell r="E76">
            <v>141</v>
          </cell>
        </row>
        <row r="77">
          <cell r="B77" t="str">
            <v>617-123-6A</v>
          </cell>
          <cell r="C77" t="str">
            <v>A320N</v>
          </cell>
          <cell r="D77" t="str">
            <v>TOOL POST</v>
          </cell>
          <cell r="E77">
            <v>141</v>
          </cell>
        </row>
        <row r="78">
          <cell r="B78" t="str">
            <v>616-432-1C</v>
          </cell>
          <cell r="C78" t="str">
            <v>A320N</v>
          </cell>
          <cell r="D78" t="str">
            <v>X SLIDE</v>
          </cell>
          <cell r="E78">
            <v>19</v>
          </cell>
        </row>
        <row r="79">
          <cell r="B79" t="str">
            <v>616-432-6A</v>
          </cell>
          <cell r="C79" t="str">
            <v>A320N</v>
          </cell>
          <cell r="D79" t="str">
            <v>X SLIDE</v>
          </cell>
          <cell r="E79">
            <v>19</v>
          </cell>
        </row>
        <row r="80">
          <cell r="B80" t="str">
            <v>616-398-1C</v>
          </cell>
          <cell r="C80" t="str">
            <v>A320N</v>
          </cell>
          <cell r="D80" t="str">
            <v>CROSS SLIDE</v>
          </cell>
          <cell r="E80">
            <v>43</v>
          </cell>
        </row>
        <row r="81">
          <cell r="B81" t="str">
            <v>616-398-5A</v>
          </cell>
          <cell r="C81" t="str">
            <v>A320N</v>
          </cell>
          <cell r="D81" t="str">
            <v>CROSS SLIDE</v>
          </cell>
          <cell r="E81">
            <v>43</v>
          </cell>
        </row>
        <row r="82">
          <cell r="B82" t="str">
            <v>615-510C</v>
          </cell>
          <cell r="C82" t="str">
            <v>A320N</v>
          </cell>
          <cell r="D82" t="str">
            <v>BACK HEAD STOCK</v>
          </cell>
          <cell r="E82">
            <v>37</v>
          </cell>
        </row>
        <row r="83">
          <cell r="B83" t="str">
            <v>615-510A</v>
          </cell>
          <cell r="C83" t="str">
            <v>A320N</v>
          </cell>
          <cell r="D83" t="str">
            <v>BACK HEAD STOCK</v>
          </cell>
          <cell r="E83">
            <v>37</v>
          </cell>
        </row>
        <row r="84">
          <cell r="B84" t="str">
            <v>615-479C</v>
          </cell>
          <cell r="C84" t="str">
            <v>A320N</v>
          </cell>
          <cell r="D84" t="str">
            <v>HEAD STOCK BRACKET</v>
          </cell>
          <cell r="E84">
            <v>12</v>
          </cell>
        </row>
        <row r="85">
          <cell r="B85" t="str">
            <v>615-480-2</v>
          </cell>
          <cell r="C85" t="str">
            <v>A320N</v>
          </cell>
          <cell r="D85" t="str">
            <v>HEAD STOCK BRACKET</v>
          </cell>
          <cell r="E85">
            <v>12</v>
          </cell>
        </row>
        <row r="86">
          <cell r="B86" t="str">
            <v>615-470C</v>
          </cell>
          <cell r="C86" t="str">
            <v>L12</v>
          </cell>
          <cell r="D86" t="str">
            <v>BRACKET</v>
          </cell>
          <cell r="E86">
            <v>9</v>
          </cell>
        </row>
        <row r="87">
          <cell r="B87" t="str">
            <v>642-125C</v>
          </cell>
          <cell r="C87" t="str">
            <v>L12</v>
          </cell>
          <cell r="D87" t="str">
            <v>SLEEVE HOLDER</v>
          </cell>
          <cell r="E87">
            <v>2</v>
          </cell>
        </row>
        <row r="88">
          <cell r="B88" t="str">
            <v>612-060C</v>
          </cell>
          <cell r="C88" t="str">
            <v>L220E</v>
          </cell>
          <cell r="D88" t="str">
            <v>SLEEVE HOLDER</v>
          </cell>
          <cell r="E88">
            <v>4</v>
          </cell>
        </row>
        <row r="89">
          <cell r="B89" t="str">
            <v>615-481C</v>
          </cell>
          <cell r="C89" t="str">
            <v>A320N</v>
          </cell>
          <cell r="D89" t="str">
            <v>CHUCKING LEVER</v>
          </cell>
          <cell r="E89">
            <v>3</v>
          </cell>
        </row>
        <row r="90">
          <cell r="B90" t="str">
            <v>615-512-1C</v>
          </cell>
          <cell r="C90" t="str">
            <v>A320N</v>
          </cell>
          <cell r="D90" t="str">
            <v>BRACKET</v>
          </cell>
          <cell r="E90">
            <v>14</v>
          </cell>
        </row>
        <row r="91">
          <cell r="B91" t="str">
            <v>613-205C</v>
          </cell>
          <cell r="C91" t="str">
            <v>A320N</v>
          </cell>
          <cell r="D91" t="str">
            <v>BRACKET</v>
          </cell>
          <cell r="E91">
            <v>2</v>
          </cell>
        </row>
        <row r="92">
          <cell r="B92" t="str">
            <v>615-358C</v>
          </cell>
          <cell r="C92" t="str">
            <v>A320N</v>
          </cell>
          <cell r="D92" t="str">
            <v>CHUCKING LEVER</v>
          </cell>
          <cell r="E92">
            <v>2</v>
          </cell>
        </row>
        <row r="93">
          <cell r="B93" t="str">
            <v>616-396-2C</v>
          </cell>
          <cell r="C93" t="str">
            <v>A320N</v>
          </cell>
          <cell r="D93" t="str">
            <v>BRACKET</v>
          </cell>
          <cell r="E93">
            <v>14</v>
          </cell>
        </row>
        <row r="94">
          <cell r="B94" t="str">
            <v>613-242C</v>
          </cell>
          <cell r="C94" t="str">
            <v>A320N</v>
          </cell>
          <cell r="D94" t="str">
            <v>BLOCK</v>
          </cell>
          <cell r="E94">
            <v>2</v>
          </cell>
        </row>
        <row r="95">
          <cell r="B95" t="str">
            <v>613-247C</v>
          </cell>
          <cell r="C95" t="str">
            <v>A320N</v>
          </cell>
          <cell r="D95" t="str">
            <v>SEAL HOLDER</v>
          </cell>
          <cell r="E95">
            <v>7</v>
          </cell>
        </row>
        <row r="96">
          <cell r="B96" t="str">
            <v>615-495C</v>
          </cell>
          <cell r="C96" t="str">
            <v>A320N</v>
          </cell>
          <cell r="D96" t="str">
            <v>BACK 4-SHAFTS HOLDER</v>
          </cell>
          <cell r="E96">
            <v>24</v>
          </cell>
        </row>
        <row r="97">
          <cell r="B97" t="str">
            <v>616-301-1C</v>
          </cell>
          <cell r="C97" t="str">
            <v>A320N</v>
          </cell>
          <cell r="D97" t="str">
            <v>SLEEVE HOLDER</v>
          </cell>
          <cell r="E97">
            <v>13</v>
          </cell>
        </row>
        <row r="98">
          <cell r="B98" t="str">
            <v>615-1036C</v>
          </cell>
          <cell r="C98" t="str">
            <v>A320N</v>
          </cell>
          <cell r="D98" t="str">
            <v>BACK 4 SLEEVE HOLDER</v>
          </cell>
          <cell r="E98">
            <v>25</v>
          </cell>
        </row>
        <row r="99">
          <cell r="B99" t="str">
            <v>615-1034-1C</v>
          </cell>
          <cell r="C99" t="str">
            <v>A320N</v>
          </cell>
          <cell r="D99" t="str">
            <v>HEAD STOCK BRACKET</v>
          </cell>
          <cell r="E99">
            <v>13</v>
          </cell>
        </row>
        <row r="101">
          <cell r="B101" t="str">
            <v>612-059C</v>
          </cell>
          <cell r="C101" t="str">
            <v>L220E</v>
          </cell>
          <cell r="D101" t="str">
            <v>SLEEVE HOLDER</v>
          </cell>
          <cell r="E101">
            <v>5</v>
          </cell>
        </row>
        <row r="102">
          <cell r="B102" t="str">
            <v>615-490C</v>
          </cell>
          <cell r="C102" t="str">
            <v>L220E</v>
          </cell>
          <cell r="D102" t="str">
            <v>BASE</v>
          </cell>
          <cell r="E102">
            <v>26</v>
          </cell>
        </row>
        <row r="103">
          <cell r="B103" t="str">
            <v>615-409C</v>
          </cell>
          <cell r="C103" t="str">
            <v>L220E</v>
          </cell>
          <cell r="D103" t="str">
            <v>CHUCKING LEVER</v>
          </cell>
          <cell r="E103">
            <v>2</v>
          </cell>
        </row>
        <row r="104">
          <cell r="B104" t="str">
            <v>616-416-1C</v>
          </cell>
          <cell r="C104" t="str">
            <v>L32</v>
          </cell>
          <cell r="D104" t="str">
            <v>HEAD STOCK</v>
          </cell>
          <cell r="E104">
            <v>63</v>
          </cell>
        </row>
        <row r="105">
          <cell r="B105" t="str">
            <v>616-416-5A</v>
          </cell>
          <cell r="C105" t="str">
            <v>L32</v>
          </cell>
          <cell r="D105" t="str">
            <v>HEAD STOCK</v>
          </cell>
          <cell r="E105">
            <v>63</v>
          </cell>
        </row>
        <row r="106">
          <cell r="B106" t="str">
            <v>615-521-1C</v>
          </cell>
          <cell r="C106" t="str">
            <v>L32</v>
          </cell>
          <cell r="D106" t="str">
            <v>HEAD STOCK BRACKET</v>
          </cell>
          <cell r="E106">
            <v>14</v>
          </cell>
        </row>
        <row r="107">
          <cell r="B107" t="str">
            <v>617-130-2C</v>
          </cell>
          <cell r="C107" t="str">
            <v>L32</v>
          </cell>
          <cell r="D107" t="str">
            <v>TOOL POST</v>
          </cell>
          <cell r="E107">
            <v>166</v>
          </cell>
        </row>
        <row r="108">
          <cell r="B108" t="str">
            <v>617-130-4A</v>
          </cell>
          <cell r="C108" t="str">
            <v>L32</v>
          </cell>
          <cell r="D108" t="str">
            <v>TOOL POST</v>
          </cell>
          <cell r="E108">
            <v>166</v>
          </cell>
        </row>
        <row r="109">
          <cell r="B109" t="str">
            <v>615-516C</v>
          </cell>
          <cell r="C109" t="str">
            <v>L32</v>
          </cell>
          <cell r="D109" t="str">
            <v>GUIDE BUSH BASE</v>
          </cell>
          <cell r="E109">
            <v>16</v>
          </cell>
        </row>
        <row r="110">
          <cell r="B110" t="str">
            <v>615-516-1C</v>
          </cell>
          <cell r="C110" t="str">
            <v>L32</v>
          </cell>
          <cell r="D110" t="str">
            <v>GUIDE BUSH BASE</v>
          </cell>
          <cell r="E110">
            <v>16</v>
          </cell>
        </row>
        <row r="111">
          <cell r="B111" t="str">
            <v>615-516-4A</v>
          </cell>
          <cell r="C111" t="str">
            <v>L32</v>
          </cell>
          <cell r="D111" t="str">
            <v>GUIDE BUSH BASE</v>
          </cell>
          <cell r="E111">
            <v>16</v>
          </cell>
        </row>
        <row r="112">
          <cell r="B112" t="str">
            <v>616-419-2C</v>
          </cell>
          <cell r="C112" t="str">
            <v>L32</v>
          </cell>
          <cell r="D112" t="str">
            <v>X1 SLIDE</v>
          </cell>
          <cell r="E112">
            <v>21</v>
          </cell>
        </row>
        <row r="113">
          <cell r="B113" t="str">
            <v>616-419-5A</v>
          </cell>
          <cell r="C113" t="str">
            <v>L32</v>
          </cell>
          <cell r="D113" t="str">
            <v>X1 SLIDE</v>
          </cell>
          <cell r="E113">
            <v>21</v>
          </cell>
        </row>
        <row r="114">
          <cell r="B114" t="str">
            <v>616-418C</v>
          </cell>
          <cell r="C114" t="str">
            <v>L32</v>
          </cell>
          <cell r="D114" t="str">
            <v>CROSS SLIDE</v>
          </cell>
          <cell r="E114">
            <v>52</v>
          </cell>
        </row>
        <row r="115">
          <cell r="B115" t="str">
            <v>616-0015-1C</v>
          </cell>
          <cell r="C115" t="str">
            <v>L32</v>
          </cell>
          <cell r="D115" t="str">
            <v>CROSS SLIDE</v>
          </cell>
          <cell r="E115">
            <v>54</v>
          </cell>
        </row>
        <row r="116">
          <cell r="B116" t="str">
            <v>616-417C</v>
          </cell>
          <cell r="C116" t="str">
            <v>L32</v>
          </cell>
          <cell r="D116" t="str">
            <v>Z2 SLIDE</v>
          </cell>
          <cell r="E116">
            <v>28</v>
          </cell>
        </row>
        <row r="117">
          <cell r="B117" t="str">
            <v>616-417-8A</v>
          </cell>
          <cell r="C117" t="str">
            <v>L32</v>
          </cell>
          <cell r="D117" t="str">
            <v>Z2 SLIDE</v>
          </cell>
          <cell r="E117">
            <v>28</v>
          </cell>
        </row>
        <row r="118">
          <cell r="B118" t="str">
            <v>616-425-2C</v>
          </cell>
          <cell r="C118" t="str">
            <v>L32</v>
          </cell>
          <cell r="D118" t="str">
            <v>Y2 AXIS BASE</v>
          </cell>
          <cell r="E118">
            <v>38</v>
          </cell>
        </row>
        <row r="119">
          <cell r="B119" t="str">
            <v>616-357-3C</v>
          </cell>
          <cell r="C119" t="str">
            <v>L32</v>
          </cell>
          <cell r="D119" t="str">
            <v>BACK SPINDLE BASE</v>
          </cell>
          <cell r="E119">
            <v>31</v>
          </cell>
        </row>
        <row r="120">
          <cell r="B120" t="str">
            <v>616-415-3A</v>
          </cell>
          <cell r="C120" t="str">
            <v>L32</v>
          </cell>
          <cell r="D120" t="str">
            <v>BACK SPINDLE BASE</v>
          </cell>
          <cell r="E120">
            <v>31</v>
          </cell>
        </row>
        <row r="121">
          <cell r="B121" t="str">
            <v>617-128C</v>
          </cell>
          <cell r="C121" t="str">
            <v>L32</v>
          </cell>
          <cell r="D121" t="str">
            <v>BRACKET</v>
          </cell>
          <cell r="E121">
            <v>21</v>
          </cell>
        </row>
        <row r="122">
          <cell r="B122" t="str">
            <v>616-424C</v>
          </cell>
          <cell r="C122" t="str">
            <v>L32</v>
          </cell>
          <cell r="D122" t="str">
            <v>Y2 SLIDE</v>
          </cell>
          <cell r="E122">
            <v>28</v>
          </cell>
        </row>
        <row r="123">
          <cell r="B123" t="str">
            <v>615-425-2C</v>
          </cell>
          <cell r="C123" t="str">
            <v>L32</v>
          </cell>
          <cell r="D123" t="str">
            <v>MOTOR HOUSING</v>
          </cell>
          <cell r="E123">
            <v>26</v>
          </cell>
        </row>
        <row r="124">
          <cell r="B124" t="str">
            <v>615-425-6A</v>
          </cell>
          <cell r="C124" t="str">
            <v>L32</v>
          </cell>
          <cell r="D124" t="str">
            <v>MOTOR HOUSING</v>
          </cell>
          <cell r="E124">
            <v>26</v>
          </cell>
        </row>
        <row r="125">
          <cell r="B125" t="str">
            <v>617-129-1C</v>
          </cell>
          <cell r="C125" t="str">
            <v>L32</v>
          </cell>
          <cell r="D125" t="str">
            <v>CROSS SLIDE</v>
          </cell>
          <cell r="E125">
            <v>73</v>
          </cell>
        </row>
        <row r="126">
          <cell r="B126" t="str">
            <v>615-423-1C</v>
          </cell>
          <cell r="C126" t="str">
            <v>L32</v>
          </cell>
          <cell r="D126" t="str">
            <v>CHUCKING LEVER</v>
          </cell>
          <cell r="E126">
            <v>3</v>
          </cell>
        </row>
        <row r="127">
          <cell r="B127" t="str">
            <v>615-426-2C</v>
          </cell>
          <cell r="C127" t="str">
            <v>L32</v>
          </cell>
          <cell r="D127" t="str">
            <v>CHUCKING LEVER</v>
          </cell>
          <cell r="E127">
            <v>3</v>
          </cell>
        </row>
        <row r="128">
          <cell r="B128" t="str">
            <v>617-0011-1C</v>
          </cell>
          <cell r="C128" t="str">
            <v>L212</v>
          </cell>
          <cell r="D128" t="str">
            <v>TOOL POST</v>
          </cell>
          <cell r="E128">
            <v>135</v>
          </cell>
        </row>
        <row r="129">
          <cell r="B129" t="str">
            <v>616-0019C</v>
          </cell>
          <cell r="C129" t="str">
            <v>L212</v>
          </cell>
          <cell r="D129" t="str">
            <v>CROSS SLIDE</v>
          </cell>
          <cell r="E129">
            <v>23</v>
          </cell>
        </row>
        <row r="130">
          <cell r="B130" t="str">
            <v>616-1001-1C</v>
          </cell>
          <cell r="C130" t="str">
            <v>L212</v>
          </cell>
          <cell r="D130" t="str">
            <v>CROSS SLIDE</v>
          </cell>
          <cell r="E130">
            <v>55</v>
          </cell>
        </row>
        <row r="131">
          <cell r="B131" t="str">
            <v>616-1002C</v>
          </cell>
          <cell r="C131" t="str">
            <v>L212</v>
          </cell>
          <cell r="D131" t="str">
            <v>SLIDE BASE</v>
          </cell>
          <cell r="E131">
            <v>37</v>
          </cell>
        </row>
        <row r="132">
          <cell r="B132" t="str">
            <v>615-1002C</v>
          </cell>
          <cell r="C132" t="str">
            <v>L212</v>
          </cell>
          <cell r="D132" t="str">
            <v>Z2 SLIDE</v>
          </cell>
          <cell r="E132">
            <v>20</v>
          </cell>
        </row>
        <row r="133">
          <cell r="B133" t="str">
            <v>615-1003-1C</v>
          </cell>
          <cell r="C133" t="str">
            <v>L212</v>
          </cell>
          <cell r="D133" t="str">
            <v>HEAD STOCK</v>
          </cell>
          <cell r="E133">
            <v>26</v>
          </cell>
        </row>
        <row r="135">
          <cell r="B135" t="str">
            <v>KE001-004</v>
          </cell>
          <cell r="C135" t="str">
            <v>JIG</v>
          </cell>
          <cell r="D135" t="str">
            <v>SUBPALLET 1200</v>
          </cell>
          <cell r="E135">
            <v>550</v>
          </cell>
        </row>
        <row r="136">
          <cell r="B136" t="str">
            <v xml:space="preserve">KE004-001 </v>
          </cell>
          <cell r="C136" t="str">
            <v>JIG</v>
          </cell>
          <cell r="D136" t="str">
            <v>マス260</v>
          </cell>
          <cell r="E136">
            <v>88</v>
          </cell>
        </row>
        <row r="137">
          <cell r="B137" t="str">
            <v>KEI 050-001-1</v>
          </cell>
          <cell r="C137" t="str">
            <v>JIG</v>
          </cell>
          <cell r="D137" t="str">
            <v>CROSS SLIDE</v>
          </cell>
          <cell r="E137">
            <v>183</v>
          </cell>
        </row>
        <row r="138">
          <cell r="B138" t="str">
            <v>KE002-003</v>
          </cell>
          <cell r="C138" t="str">
            <v>JIG</v>
          </cell>
          <cell r="D138" t="str">
            <v>IKERU 60N</v>
          </cell>
          <cell r="E138">
            <v>220</v>
          </cell>
        </row>
        <row r="139">
          <cell r="B139" t="str">
            <v>KEHM510-001</v>
          </cell>
          <cell r="C139" t="str">
            <v>JIG</v>
          </cell>
          <cell r="D139" t="str">
            <v xml:space="preserve">Standard Base </v>
          </cell>
          <cell r="E139">
            <v>178</v>
          </cell>
        </row>
        <row r="140">
          <cell r="B140" t="str">
            <v xml:space="preserve">KE002-002 </v>
          </cell>
          <cell r="C140" t="str">
            <v>JIG</v>
          </cell>
          <cell r="D140" t="str">
            <v>IKERU 80N</v>
          </cell>
          <cell r="E140">
            <v>414</v>
          </cell>
        </row>
        <row r="141">
          <cell r="B141" t="str">
            <v>KE001-002</v>
          </cell>
          <cell r="C141" t="str">
            <v>JIG</v>
          </cell>
          <cell r="D141" t="str">
            <v>SUBPALLET 630</v>
          </cell>
          <cell r="E141">
            <v>140</v>
          </cell>
        </row>
        <row r="142">
          <cell r="B142" t="str">
            <v>KE001-001-6350-1</v>
          </cell>
          <cell r="C142" t="str">
            <v>JIG</v>
          </cell>
          <cell r="D142" t="str">
            <v>Subpallet 800</v>
          </cell>
          <cell r="E142">
            <v>270</v>
          </cell>
        </row>
        <row r="143">
          <cell r="B143" t="str">
            <v>KE001-002-6350</v>
          </cell>
          <cell r="C143" t="str">
            <v>JIG</v>
          </cell>
          <cell r="D143" t="str">
            <v>Subpallet 630</v>
          </cell>
          <cell r="E143">
            <v>140</v>
          </cell>
        </row>
        <row r="144">
          <cell r="B144" t="str">
            <v>KE001-004</v>
          </cell>
          <cell r="C144" t="str">
            <v>JIG</v>
          </cell>
          <cell r="D144" t="str">
            <v>Subpallet 1200</v>
          </cell>
          <cell r="E144">
            <v>550</v>
          </cell>
        </row>
        <row r="145">
          <cell r="B145" t="str">
            <v>KE616-1013-RT01</v>
          </cell>
          <cell r="C145" t="str">
            <v>JIG</v>
          </cell>
          <cell r="D145" t="str">
            <v>IKERU 60</v>
          </cell>
          <cell r="E145">
            <v>185</v>
          </cell>
        </row>
        <row r="146">
          <cell r="B146" t="str">
            <v>KE614302-RT21</v>
          </cell>
          <cell r="C146" t="str">
            <v>JIG</v>
          </cell>
          <cell r="D146" t="str">
            <v>IKERU 60</v>
          </cell>
          <cell r="E146">
            <v>240</v>
          </cell>
        </row>
        <row r="147">
          <cell r="B147" t="str">
            <v>KE614303-RT21</v>
          </cell>
          <cell r="C147" t="str">
            <v>JIG</v>
          </cell>
          <cell r="D147" t="str">
            <v>IKERU 60</v>
          </cell>
          <cell r="E147">
            <v>240</v>
          </cell>
        </row>
        <row r="148">
          <cell r="B148" t="str">
            <v>KE6151046-FT01</v>
          </cell>
          <cell r="C148" t="str">
            <v>JIG</v>
          </cell>
          <cell r="D148" t="str">
            <v>IKERU 60</v>
          </cell>
          <cell r="E148">
            <v>240</v>
          </cell>
        </row>
        <row r="149">
          <cell r="B149" t="str">
            <v>KE6151046-RT01</v>
          </cell>
          <cell r="C149" t="str">
            <v>JIG</v>
          </cell>
          <cell r="D149" t="str">
            <v>IKERU 60</v>
          </cell>
          <cell r="E149">
            <v>240</v>
          </cell>
        </row>
        <row r="150">
          <cell r="B150" t="str">
            <v>KE6151047,6151042-FT01</v>
          </cell>
          <cell r="C150" t="str">
            <v>JIG</v>
          </cell>
          <cell r="D150" t="str">
            <v>IKERU 60</v>
          </cell>
          <cell r="E150">
            <v>240</v>
          </cell>
        </row>
        <row r="151">
          <cell r="B151" t="str">
            <v>KE6151047,6151042-RT01</v>
          </cell>
          <cell r="C151" t="str">
            <v>JIG</v>
          </cell>
          <cell r="D151" t="str">
            <v>IKERU 60</v>
          </cell>
          <cell r="E151">
            <v>240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ipment"/>
      <sheetName val="CMA items"/>
    </sheetNames>
    <sheetDataSet>
      <sheetData sheetId="0" refreshError="1"/>
      <sheetData sheetId="1" refreshError="1">
        <row r="1">
          <cell r="B1" t="str">
            <v>618-076-2C</v>
          </cell>
          <cell r="C1" t="str">
            <v>K1216E</v>
          </cell>
          <cell r="D1" t="str">
            <v>BED</v>
          </cell>
          <cell r="E1">
            <v>1000</v>
          </cell>
        </row>
        <row r="4">
          <cell r="B4" t="str">
            <v>618-076-11</v>
          </cell>
          <cell r="C4" t="str">
            <v>K1216E</v>
          </cell>
          <cell r="D4" t="str">
            <v>BED</v>
          </cell>
          <cell r="E4">
            <v>1000</v>
          </cell>
        </row>
        <row r="5">
          <cell r="B5" t="str">
            <v>618-081-3C</v>
          </cell>
          <cell r="C5" t="str">
            <v>L12</v>
          </cell>
          <cell r="D5" t="str">
            <v>RM BODY</v>
          </cell>
          <cell r="E5">
            <v>872</v>
          </cell>
        </row>
        <row r="6">
          <cell r="B6" t="str">
            <v>617-107-1C</v>
          </cell>
          <cell r="C6" t="str">
            <v>B1216E</v>
          </cell>
          <cell r="D6" t="str">
            <v>BED</v>
          </cell>
          <cell r="E6">
            <v>523</v>
          </cell>
        </row>
        <row r="7">
          <cell r="B7" t="str">
            <v>618-084-1C</v>
          </cell>
          <cell r="C7" t="str">
            <v>L220E</v>
          </cell>
          <cell r="D7" t="str">
            <v>BED</v>
          </cell>
          <cell r="E7">
            <v>1170</v>
          </cell>
        </row>
        <row r="8">
          <cell r="B8" t="str">
            <v>618-084-7</v>
          </cell>
          <cell r="C8" t="str">
            <v>L220E</v>
          </cell>
          <cell r="D8" t="str">
            <v>BED</v>
          </cell>
          <cell r="E8">
            <v>1170</v>
          </cell>
        </row>
        <row r="9">
          <cell r="B9" t="str">
            <v>618-084-8</v>
          </cell>
          <cell r="C9" t="str">
            <v>L220E</v>
          </cell>
          <cell r="D9" t="str">
            <v>BED</v>
          </cell>
          <cell r="E9">
            <v>1170</v>
          </cell>
        </row>
        <row r="10">
          <cell r="B10" t="str">
            <v>618-087C</v>
          </cell>
          <cell r="C10" t="str">
            <v>L32</v>
          </cell>
          <cell r="D10" t="str">
            <v>BED</v>
          </cell>
          <cell r="E10">
            <v>1375</v>
          </cell>
        </row>
        <row r="11">
          <cell r="B11" t="str">
            <v>615-408C</v>
          </cell>
          <cell r="C11" t="str">
            <v>L200E</v>
          </cell>
          <cell r="D11" t="str">
            <v>1/2～2/2/BACK HEAD STOCK</v>
          </cell>
          <cell r="E11">
            <v>9.5</v>
          </cell>
        </row>
        <row r="12">
          <cell r="B12" t="str">
            <v>615-408-2A</v>
          </cell>
          <cell r="C12" t="str">
            <v>L20E</v>
          </cell>
          <cell r="D12" t="str">
            <v>1/2～2/2/BACK HEAD STOCK</v>
          </cell>
          <cell r="E12">
            <v>9.5</v>
          </cell>
        </row>
        <row r="13">
          <cell r="B13" t="str">
            <v>615-209-1C</v>
          </cell>
          <cell r="C13" t="str">
            <v>L20E</v>
          </cell>
          <cell r="D13" t="str">
            <v>HEAD STOCK BRACKET</v>
          </cell>
          <cell r="E13">
            <v>8.5</v>
          </cell>
        </row>
        <row r="14">
          <cell r="B14" t="str">
            <v>615-209-1A</v>
          </cell>
          <cell r="C14" t="str">
            <v>L20E</v>
          </cell>
          <cell r="D14" t="str">
            <v>HEAD STOCK BRACKET</v>
          </cell>
          <cell r="E14">
            <v>8.5</v>
          </cell>
        </row>
        <row r="15">
          <cell r="B15" t="str">
            <v>617-057-3C</v>
          </cell>
          <cell r="C15" t="str">
            <v>L20E</v>
          </cell>
          <cell r="D15" t="str">
            <v>GUIDE BUSH BODY</v>
          </cell>
          <cell r="E15">
            <v>17.5</v>
          </cell>
        </row>
        <row r="16">
          <cell r="B16" t="str">
            <v>617-057-10A</v>
          </cell>
          <cell r="C16" t="str">
            <v>L20E</v>
          </cell>
          <cell r="D16" t="str">
            <v>GUIDE BUSH BODY</v>
          </cell>
          <cell r="E16">
            <v>17.5</v>
          </cell>
        </row>
        <row r="17">
          <cell r="B17" t="str">
            <v>615-412-2C</v>
          </cell>
          <cell r="C17" t="str">
            <v>K1216E</v>
          </cell>
          <cell r="D17" t="str">
            <v>Z2 SLIDE</v>
          </cell>
          <cell r="E17">
            <v>19</v>
          </cell>
        </row>
        <row r="18">
          <cell r="B18" t="str">
            <v>613-226-3C</v>
          </cell>
          <cell r="C18" t="str">
            <v>K1216E</v>
          </cell>
          <cell r="D18" t="str">
            <v>MOTOR BRACKET</v>
          </cell>
          <cell r="E18">
            <v>6</v>
          </cell>
        </row>
        <row r="19">
          <cell r="B19" t="str">
            <v>615-433C</v>
          </cell>
          <cell r="C19" t="str">
            <v>K1216E</v>
          </cell>
          <cell r="D19" t="str">
            <v>BRACKET</v>
          </cell>
          <cell r="E19">
            <v>8</v>
          </cell>
        </row>
        <row r="20">
          <cell r="B20" t="str">
            <v>616-347C</v>
          </cell>
          <cell r="C20" t="str">
            <v>K1216E</v>
          </cell>
          <cell r="D20" t="str">
            <v>HEAD STOCK</v>
          </cell>
          <cell r="E20">
            <v>26</v>
          </cell>
        </row>
        <row r="21">
          <cell r="B21" t="str">
            <v>614-273-1C</v>
          </cell>
          <cell r="C21" t="str">
            <v>K1216E</v>
          </cell>
          <cell r="D21" t="str">
            <v>BRACKET</v>
          </cell>
          <cell r="E21">
            <v>6</v>
          </cell>
        </row>
        <row r="22">
          <cell r="B22" t="str">
            <v>616-350C</v>
          </cell>
          <cell r="C22" t="str">
            <v>K1216E</v>
          </cell>
          <cell r="D22" t="str">
            <v>X SLIDE</v>
          </cell>
          <cell r="E22">
            <v>31</v>
          </cell>
        </row>
        <row r="23">
          <cell r="B23" t="str">
            <v>615-236-6C</v>
          </cell>
          <cell r="C23" t="str">
            <v>BL12</v>
          </cell>
          <cell r="D23" t="str">
            <v>SLIDE BASE</v>
          </cell>
          <cell r="E23">
            <v>17.5</v>
          </cell>
        </row>
        <row r="24">
          <cell r="B24" t="str">
            <v>616-188-5C</v>
          </cell>
          <cell r="C24" t="str">
            <v>BL12</v>
          </cell>
          <cell r="D24" t="str">
            <v>CROSSLIDE</v>
          </cell>
          <cell r="E24">
            <v>35</v>
          </cell>
        </row>
        <row r="26">
          <cell r="B26" t="str">
            <v>614-187-6C</v>
          </cell>
          <cell r="C26" t="str">
            <v>BL12</v>
          </cell>
          <cell r="D26" t="str">
            <v>Y1 SLIDE</v>
          </cell>
          <cell r="E26">
            <v>7</v>
          </cell>
        </row>
        <row r="27">
          <cell r="B27" t="str">
            <v>613-166C</v>
          </cell>
          <cell r="C27" t="str">
            <v>BL12</v>
          </cell>
          <cell r="D27" t="str">
            <v>SEAT</v>
          </cell>
          <cell r="E27">
            <v>1.8</v>
          </cell>
        </row>
        <row r="28">
          <cell r="B28" t="str">
            <v>615-471C</v>
          </cell>
          <cell r="C28" t="str">
            <v>B1216E</v>
          </cell>
          <cell r="D28" t="str">
            <v>HEAD STOCK</v>
          </cell>
          <cell r="E28">
            <v>35.5</v>
          </cell>
        </row>
        <row r="29">
          <cell r="B29" t="str">
            <v>617-106-1C</v>
          </cell>
          <cell r="C29" t="str">
            <v>B1216E</v>
          </cell>
          <cell r="D29" t="str">
            <v>TOOL POST</v>
          </cell>
          <cell r="E29">
            <v>94</v>
          </cell>
        </row>
        <row r="30">
          <cell r="B30" t="str">
            <v>616-157C</v>
          </cell>
          <cell r="C30" t="str">
            <v>B1216E</v>
          </cell>
          <cell r="D30" t="str">
            <v>X-SLIDE</v>
          </cell>
          <cell r="E30">
            <v>11.5</v>
          </cell>
        </row>
        <row r="31">
          <cell r="B31" t="str">
            <v>616-240C</v>
          </cell>
          <cell r="C31" t="str">
            <v>B1216E</v>
          </cell>
          <cell r="D31" t="str">
            <v>CROSS SLIDE</v>
          </cell>
          <cell r="E31">
            <v>31</v>
          </cell>
        </row>
        <row r="32">
          <cell r="B32" t="str">
            <v>616-370-1C</v>
          </cell>
          <cell r="C32" t="str">
            <v>B1216E</v>
          </cell>
          <cell r="D32" t="str">
            <v>BRACKET</v>
          </cell>
          <cell r="E32">
            <v>33.5</v>
          </cell>
        </row>
        <row r="33">
          <cell r="B33" t="str">
            <v>615-200C</v>
          </cell>
          <cell r="C33" t="str">
            <v>B1216E</v>
          </cell>
          <cell r="D33" t="str">
            <v>SLIDE BASE</v>
          </cell>
          <cell r="E33">
            <v>10.5</v>
          </cell>
        </row>
        <row r="34">
          <cell r="B34" t="str">
            <v>615-468-2C</v>
          </cell>
          <cell r="C34" t="str">
            <v>L12</v>
          </cell>
          <cell r="D34" t="str">
            <v>HEAD STOCK</v>
          </cell>
          <cell r="E34">
            <v>37.5</v>
          </cell>
        </row>
        <row r="35">
          <cell r="B35" t="str">
            <v>615-464-1C</v>
          </cell>
          <cell r="C35" t="str">
            <v>L12</v>
          </cell>
          <cell r="D35" t="str">
            <v>X SLIDE</v>
          </cell>
          <cell r="E35">
            <v>18</v>
          </cell>
        </row>
        <row r="36">
          <cell r="B36" t="str">
            <v>616-388C</v>
          </cell>
          <cell r="C36" t="str">
            <v>L12</v>
          </cell>
          <cell r="D36" t="str">
            <v>HEAD STOCK</v>
          </cell>
          <cell r="E36">
            <v>17</v>
          </cell>
        </row>
        <row r="37">
          <cell r="B37" t="str">
            <v>614-290C</v>
          </cell>
          <cell r="C37" t="str">
            <v>L12</v>
          </cell>
          <cell r="D37" t="str">
            <v>LEVER BRACKET</v>
          </cell>
          <cell r="E37">
            <v>3</v>
          </cell>
        </row>
        <row r="38">
          <cell r="B38" t="str">
            <v>614-272C</v>
          </cell>
          <cell r="C38" t="str">
            <v>L12</v>
          </cell>
          <cell r="D38" t="str">
            <v>CHUCKING LEVER</v>
          </cell>
          <cell r="E38">
            <v>2</v>
          </cell>
        </row>
        <row r="39">
          <cell r="B39" t="str">
            <v>613-238-1C</v>
          </cell>
          <cell r="C39" t="str">
            <v>L12</v>
          </cell>
          <cell r="D39" t="str">
            <v>MOTOR BRACKET</v>
          </cell>
          <cell r="E39">
            <v>6</v>
          </cell>
        </row>
        <row r="40">
          <cell r="B40" t="str">
            <v>616-385C</v>
          </cell>
          <cell r="C40" t="str">
            <v>L12</v>
          </cell>
          <cell r="D40" t="str">
            <v>BRACKET</v>
          </cell>
          <cell r="E40">
            <v>10</v>
          </cell>
        </row>
        <row r="41">
          <cell r="B41" t="str">
            <v>615-467-1C</v>
          </cell>
          <cell r="C41" t="str">
            <v>L12</v>
          </cell>
          <cell r="D41" t="str">
            <v>BRACKET</v>
          </cell>
          <cell r="E41">
            <v>10</v>
          </cell>
        </row>
        <row r="42">
          <cell r="B42" t="str">
            <v>614-285-1C</v>
          </cell>
          <cell r="C42" t="str">
            <v>L12</v>
          </cell>
          <cell r="D42" t="str">
            <v>Z2 SLIDE</v>
          </cell>
          <cell r="E42">
            <v>9</v>
          </cell>
        </row>
        <row r="43">
          <cell r="B43" t="str">
            <v>614-286-1C</v>
          </cell>
          <cell r="C43" t="str">
            <v>L12</v>
          </cell>
          <cell r="D43" t="str">
            <v>BRACKET</v>
          </cell>
          <cell r="E43">
            <v>6</v>
          </cell>
        </row>
        <row r="44">
          <cell r="B44" t="str">
            <v>614-287-1C</v>
          </cell>
          <cell r="C44" t="str">
            <v>L12</v>
          </cell>
          <cell r="D44" t="str">
            <v>SLEEVE HOLDER</v>
          </cell>
          <cell r="E44">
            <v>13</v>
          </cell>
        </row>
        <row r="45">
          <cell r="B45" t="str">
            <v>614-220C</v>
          </cell>
          <cell r="C45" t="str">
            <v>L12</v>
          </cell>
          <cell r="D45" t="str">
            <v>CHUCKING LEVER</v>
          </cell>
          <cell r="E45">
            <v>2</v>
          </cell>
        </row>
        <row r="46">
          <cell r="B46" t="str">
            <v>616-386-1C</v>
          </cell>
          <cell r="C46" t="str">
            <v>L12</v>
          </cell>
          <cell r="D46" t="str">
            <v>CROSS SLIDE</v>
          </cell>
          <cell r="E46">
            <v>22</v>
          </cell>
        </row>
        <row r="47">
          <cell r="B47" t="str">
            <v>616-387-2C</v>
          </cell>
          <cell r="C47" t="str">
            <v>L12</v>
          </cell>
          <cell r="D47" t="str">
            <v>CROSS SLIDE</v>
          </cell>
          <cell r="E47">
            <v>26</v>
          </cell>
        </row>
        <row r="48">
          <cell r="B48" t="str">
            <v>617-112-1C</v>
          </cell>
          <cell r="C48" t="str">
            <v>L12</v>
          </cell>
          <cell r="D48" t="str">
            <v>TOOL POST</v>
          </cell>
          <cell r="E48">
            <v>126</v>
          </cell>
        </row>
        <row r="49">
          <cell r="B49" t="str">
            <v>613-256C</v>
          </cell>
          <cell r="C49" t="str">
            <v>L12</v>
          </cell>
          <cell r="D49" t="str">
            <v>MOTOR BRACKET</v>
          </cell>
          <cell r="E49">
            <v>7.5</v>
          </cell>
        </row>
        <row r="50">
          <cell r="B50" t="str">
            <v>615-465C</v>
          </cell>
          <cell r="C50" t="str">
            <v>L12</v>
          </cell>
          <cell r="D50" t="str">
            <v>SLEEVE HOLDER</v>
          </cell>
          <cell r="E50">
            <v>6</v>
          </cell>
        </row>
        <row r="52">
          <cell r="B52" t="str">
            <v>614-291C</v>
          </cell>
          <cell r="C52" t="str">
            <v>L220E</v>
          </cell>
          <cell r="D52" t="str">
            <v>BASE</v>
          </cell>
          <cell r="E52">
            <v>7</v>
          </cell>
        </row>
        <row r="54">
          <cell r="B54" t="str">
            <v>614-291-4A</v>
          </cell>
          <cell r="C54" t="str">
            <v>L220E</v>
          </cell>
          <cell r="D54" t="str">
            <v>BASE</v>
          </cell>
          <cell r="E54">
            <v>7</v>
          </cell>
        </row>
        <row r="55">
          <cell r="B55" t="str">
            <v>615-486C</v>
          </cell>
          <cell r="C55" t="str">
            <v>L220E</v>
          </cell>
          <cell r="D55" t="str">
            <v>X SLIDE</v>
          </cell>
          <cell r="E55">
            <v>16</v>
          </cell>
        </row>
        <row r="58">
          <cell r="B58" t="str">
            <v>615-486-10A</v>
          </cell>
          <cell r="C58" t="str">
            <v>L220E</v>
          </cell>
          <cell r="D58" t="str">
            <v>X SLIDE</v>
          </cell>
          <cell r="E58">
            <v>16</v>
          </cell>
        </row>
        <row r="59">
          <cell r="B59" t="str">
            <v>617-118-1C</v>
          </cell>
          <cell r="C59" t="str">
            <v>L220E</v>
          </cell>
          <cell r="D59" t="str">
            <v>CROSS SLIDE</v>
          </cell>
          <cell r="E59">
            <v>37</v>
          </cell>
        </row>
        <row r="61">
          <cell r="B61" t="str">
            <v>617-118-5A</v>
          </cell>
          <cell r="C61" t="str">
            <v>L220E</v>
          </cell>
          <cell r="D61" t="str">
            <v>CROSS SLIDE</v>
          </cell>
          <cell r="E61">
            <v>37</v>
          </cell>
        </row>
        <row r="64">
          <cell r="B64" t="str">
            <v>616-413-3A</v>
          </cell>
          <cell r="C64" t="str">
            <v>L220E</v>
          </cell>
          <cell r="D64" t="str">
            <v>HEAD STOCK</v>
          </cell>
          <cell r="E64">
            <v>43</v>
          </cell>
        </row>
        <row r="65">
          <cell r="B65" t="str">
            <v>615-478C</v>
          </cell>
          <cell r="C65" t="str">
            <v>L220E</v>
          </cell>
          <cell r="D65" t="str">
            <v>CROSS SLIDE</v>
          </cell>
          <cell r="E65">
            <v>30</v>
          </cell>
        </row>
        <row r="67">
          <cell r="B67" t="str">
            <v>615-478-4A</v>
          </cell>
          <cell r="C67" t="str">
            <v>L220E</v>
          </cell>
          <cell r="D67" t="str">
            <v>CROSS SLIDE</v>
          </cell>
          <cell r="E67">
            <v>30</v>
          </cell>
        </row>
        <row r="68">
          <cell r="B68" t="str">
            <v>615-511C</v>
          </cell>
          <cell r="C68" t="str">
            <v>L220E</v>
          </cell>
          <cell r="D68" t="str">
            <v>Y2 SLIDE BASE</v>
          </cell>
          <cell r="E68">
            <v>36</v>
          </cell>
        </row>
        <row r="71">
          <cell r="B71" t="str">
            <v>615-511-5A</v>
          </cell>
          <cell r="C71" t="str">
            <v>L220E</v>
          </cell>
          <cell r="D71" t="str">
            <v>Y2 SLIDE BASE</v>
          </cell>
          <cell r="E71">
            <v>36</v>
          </cell>
        </row>
        <row r="72">
          <cell r="B72" t="str">
            <v>617-117-1C</v>
          </cell>
          <cell r="C72" t="str">
            <v>L220E</v>
          </cell>
          <cell r="D72" t="str">
            <v>TOOL POST</v>
          </cell>
          <cell r="E72">
            <v>144</v>
          </cell>
        </row>
        <row r="73">
          <cell r="B73" t="str">
            <v>617-117-10A</v>
          </cell>
          <cell r="C73" t="str">
            <v>L220E</v>
          </cell>
          <cell r="D73" t="str">
            <v>TOOL POST</v>
          </cell>
          <cell r="E73">
            <v>144</v>
          </cell>
        </row>
        <row r="74">
          <cell r="B74" t="str">
            <v>616-413-1C</v>
          </cell>
          <cell r="C74" t="str">
            <v>L220E</v>
          </cell>
          <cell r="D74" t="str">
            <v>HEAD STOCK</v>
          </cell>
          <cell r="E74">
            <v>43</v>
          </cell>
        </row>
        <row r="76">
          <cell r="B76" t="str">
            <v>617-116-2C</v>
          </cell>
          <cell r="C76" t="str">
            <v>L220E</v>
          </cell>
          <cell r="D76" t="str">
            <v>CROSS SLIDE</v>
          </cell>
          <cell r="E76">
            <v>46</v>
          </cell>
        </row>
        <row r="78">
          <cell r="B78" t="str">
            <v>617-116-7A</v>
          </cell>
          <cell r="C78" t="str">
            <v>L220E</v>
          </cell>
          <cell r="D78" t="str">
            <v>CROSS SLIDE</v>
          </cell>
          <cell r="E78">
            <v>46</v>
          </cell>
        </row>
        <row r="79">
          <cell r="B79" t="str">
            <v>615-484C</v>
          </cell>
          <cell r="C79" t="str">
            <v>L220E</v>
          </cell>
          <cell r="D79" t="str">
            <v>Z2 SLIDE</v>
          </cell>
          <cell r="E79">
            <v>20</v>
          </cell>
        </row>
        <row r="81">
          <cell r="B81" t="str">
            <v>615-507-1C</v>
          </cell>
          <cell r="C81" t="str">
            <v>L220E</v>
          </cell>
          <cell r="D81" t="str">
            <v>HEAD STOCK</v>
          </cell>
          <cell r="E81">
            <v>35</v>
          </cell>
        </row>
        <row r="82">
          <cell r="B82" t="str">
            <v>616-354-2C</v>
          </cell>
          <cell r="C82" t="str">
            <v>L220E</v>
          </cell>
          <cell r="D82" t="str">
            <v>Y2 SLIDE BASE</v>
          </cell>
          <cell r="E82">
            <v>35</v>
          </cell>
        </row>
        <row r="83">
          <cell r="B83" t="str">
            <v>615-509C</v>
          </cell>
          <cell r="C83" t="str">
            <v>A320N</v>
          </cell>
          <cell r="D83" t="str">
            <v>HEAD STOCK</v>
          </cell>
          <cell r="E83">
            <v>42</v>
          </cell>
        </row>
        <row r="85">
          <cell r="B85" t="str">
            <v>615-509-4A</v>
          </cell>
          <cell r="C85" t="str">
            <v>A320N</v>
          </cell>
          <cell r="D85" t="str">
            <v>HEAD STOCK</v>
          </cell>
          <cell r="E85">
            <v>42</v>
          </cell>
        </row>
        <row r="86">
          <cell r="B86" t="str">
            <v>617-115-1C</v>
          </cell>
          <cell r="C86" t="str">
            <v>A320N</v>
          </cell>
          <cell r="D86" t="str">
            <v>TOOL POST</v>
          </cell>
          <cell r="E86">
            <v>141</v>
          </cell>
        </row>
        <row r="88">
          <cell r="B88" t="str">
            <v>617-123-2A</v>
          </cell>
          <cell r="C88" t="str">
            <v>A320N</v>
          </cell>
          <cell r="D88" t="str">
            <v>TOOL POST</v>
          </cell>
          <cell r="E88">
            <v>141</v>
          </cell>
        </row>
        <row r="90">
          <cell r="B90" t="str">
            <v>616-432C</v>
          </cell>
          <cell r="C90" t="str">
            <v>A320N</v>
          </cell>
          <cell r="D90" t="str">
            <v>X SLIDE</v>
          </cell>
          <cell r="E90">
            <v>19</v>
          </cell>
        </row>
        <row r="92">
          <cell r="B92" t="str">
            <v>616-432A</v>
          </cell>
          <cell r="C92" t="str">
            <v>A320N</v>
          </cell>
          <cell r="D92" t="str">
            <v>X SLIDE</v>
          </cell>
          <cell r="E92">
            <v>19</v>
          </cell>
        </row>
        <row r="93">
          <cell r="B93" t="str">
            <v>616-432-1A</v>
          </cell>
          <cell r="C93" t="str">
            <v>A320N</v>
          </cell>
          <cell r="D93" t="str">
            <v>X SLIDE</v>
          </cell>
          <cell r="E93">
            <v>19</v>
          </cell>
        </row>
        <row r="94">
          <cell r="B94" t="str">
            <v>616-432-2A</v>
          </cell>
          <cell r="C94" t="str">
            <v>A320N</v>
          </cell>
          <cell r="D94" t="str">
            <v>X SLIDE</v>
          </cell>
          <cell r="E94">
            <v>19</v>
          </cell>
        </row>
        <row r="95">
          <cell r="B95" t="str">
            <v>616-398-1C</v>
          </cell>
          <cell r="C95" t="str">
            <v>A320N</v>
          </cell>
          <cell r="D95" t="str">
            <v>CROSS SLIDE</v>
          </cell>
          <cell r="E95">
            <v>43</v>
          </cell>
        </row>
        <row r="97">
          <cell r="B97" t="str">
            <v>616-398-3A</v>
          </cell>
          <cell r="C97" t="str">
            <v>A320N</v>
          </cell>
          <cell r="D97" t="str">
            <v>CROSS SLIDE</v>
          </cell>
          <cell r="E97">
            <v>43</v>
          </cell>
        </row>
        <row r="98">
          <cell r="B98" t="str">
            <v>615-510C</v>
          </cell>
          <cell r="C98" t="str">
            <v>A320N</v>
          </cell>
          <cell r="D98" t="str">
            <v>BACK HEAD STOCK</v>
          </cell>
          <cell r="E98">
            <v>37</v>
          </cell>
        </row>
        <row r="99">
          <cell r="B99" t="str">
            <v>615-510A</v>
          </cell>
          <cell r="C99" t="str">
            <v>A320N</v>
          </cell>
          <cell r="D99" t="str">
            <v>BACK HEAD STOCK</v>
          </cell>
          <cell r="E99">
            <v>37</v>
          </cell>
        </row>
        <row r="100">
          <cell r="B100" t="str">
            <v>615-479C</v>
          </cell>
          <cell r="C100" t="str">
            <v>A320N</v>
          </cell>
          <cell r="D100" t="str">
            <v>HEAD STOCK BRACKET</v>
          </cell>
          <cell r="E100">
            <v>12</v>
          </cell>
        </row>
        <row r="102">
          <cell r="B102" t="str">
            <v>615-480-2</v>
          </cell>
          <cell r="C102" t="str">
            <v>A320N</v>
          </cell>
          <cell r="D102" t="str">
            <v>HEAD STOCK BRACKET</v>
          </cell>
          <cell r="E102">
            <v>12</v>
          </cell>
        </row>
        <row r="103">
          <cell r="B103" t="str">
            <v>615-470C</v>
          </cell>
          <cell r="C103" t="str">
            <v>L12</v>
          </cell>
          <cell r="D103" t="str">
            <v>BRACKET</v>
          </cell>
          <cell r="E103">
            <v>9</v>
          </cell>
        </row>
        <row r="104">
          <cell r="B104" t="str">
            <v>642-125C</v>
          </cell>
          <cell r="C104" t="str">
            <v>L12</v>
          </cell>
          <cell r="D104" t="str">
            <v>SLEEVE HOLDER</v>
          </cell>
          <cell r="E104">
            <v>2</v>
          </cell>
        </row>
        <row r="105">
          <cell r="B105" t="str">
            <v>612-060C</v>
          </cell>
          <cell r="C105" t="str">
            <v>L220E</v>
          </cell>
          <cell r="D105" t="str">
            <v>SLEEVE HOLDER</v>
          </cell>
          <cell r="E105">
            <v>4</v>
          </cell>
        </row>
        <row r="106">
          <cell r="B106" t="str">
            <v>615-481C</v>
          </cell>
          <cell r="C106" t="str">
            <v>A320N</v>
          </cell>
          <cell r="D106" t="str">
            <v>CHUCKING LEVER</v>
          </cell>
          <cell r="E106">
            <v>3</v>
          </cell>
        </row>
        <row r="107">
          <cell r="B107" t="str">
            <v>615-512C</v>
          </cell>
          <cell r="C107" t="str">
            <v>A320N</v>
          </cell>
          <cell r="D107" t="str">
            <v>BRACKET</v>
          </cell>
          <cell r="E107">
            <v>14</v>
          </cell>
        </row>
        <row r="108">
          <cell r="B108" t="str">
            <v>613-205C</v>
          </cell>
          <cell r="C108" t="str">
            <v>A320N</v>
          </cell>
          <cell r="D108" t="str">
            <v>BRACKET</v>
          </cell>
          <cell r="E108">
            <v>2</v>
          </cell>
        </row>
        <row r="109">
          <cell r="B109" t="str">
            <v>615-358C</v>
          </cell>
          <cell r="C109" t="str">
            <v>A320N</v>
          </cell>
          <cell r="D109" t="str">
            <v>CHUCKING LEVER</v>
          </cell>
          <cell r="E109">
            <v>2</v>
          </cell>
        </row>
        <row r="110">
          <cell r="B110" t="str">
            <v>616-396-2C</v>
          </cell>
          <cell r="C110" t="str">
            <v>A320N</v>
          </cell>
          <cell r="D110" t="str">
            <v>BRACKET</v>
          </cell>
          <cell r="E110">
            <v>14</v>
          </cell>
        </row>
        <row r="111">
          <cell r="B111" t="str">
            <v>613-242C</v>
          </cell>
          <cell r="C111" t="str">
            <v>A320N</v>
          </cell>
          <cell r="D111" t="str">
            <v>BLOCK</v>
          </cell>
          <cell r="E111">
            <v>2</v>
          </cell>
        </row>
        <row r="112">
          <cell r="B112" t="str">
            <v>613-247C</v>
          </cell>
          <cell r="C112" t="str">
            <v>A320N</v>
          </cell>
          <cell r="D112" t="str">
            <v>SEAL HOLDER</v>
          </cell>
          <cell r="E112">
            <v>7</v>
          </cell>
        </row>
        <row r="113">
          <cell r="B113" t="str">
            <v>615-495C</v>
          </cell>
          <cell r="C113" t="str">
            <v>A320N</v>
          </cell>
          <cell r="D113" t="str">
            <v>BACK 4-SHAFTS HOLDER</v>
          </cell>
          <cell r="E113">
            <v>24</v>
          </cell>
        </row>
        <row r="114">
          <cell r="B114" t="str">
            <v>616-301-1C</v>
          </cell>
          <cell r="C114" t="str">
            <v>A320N</v>
          </cell>
          <cell r="D114" t="str">
            <v>SLEEVE HOLDER</v>
          </cell>
          <cell r="E114">
            <v>13</v>
          </cell>
        </row>
        <row r="115">
          <cell r="B115" t="str">
            <v>612-059C</v>
          </cell>
          <cell r="C115" t="str">
            <v>L220E</v>
          </cell>
          <cell r="D115" t="str">
            <v>SLEEVE HOLDER</v>
          </cell>
          <cell r="E115">
            <v>5</v>
          </cell>
        </row>
        <row r="116">
          <cell r="B116" t="str">
            <v>615-490C</v>
          </cell>
          <cell r="C116" t="str">
            <v>L220E</v>
          </cell>
          <cell r="D116" t="str">
            <v>Base</v>
          </cell>
          <cell r="E116">
            <v>26</v>
          </cell>
        </row>
        <row r="117">
          <cell r="B117" t="str">
            <v>615-409C</v>
          </cell>
          <cell r="C117" t="str">
            <v>L220E</v>
          </cell>
          <cell r="D117" t="str">
            <v>CHUCKING LEVER</v>
          </cell>
          <cell r="E117">
            <v>2</v>
          </cell>
        </row>
        <row r="118">
          <cell r="B118" t="str">
            <v>616-416C</v>
          </cell>
          <cell r="C118" t="str">
            <v>L32</v>
          </cell>
          <cell r="D118" t="str">
            <v>HEAD STOCK</v>
          </cell>
          <cell r="E118">
            <v>63</v>
          </cell>
        </row>
        <row r="120">
          <cell r="B120" t="str">
            <v>616-416-4A</v>
          </cell>
          <cell r="C120" t="str">
            <v>L32</v>
          </cell>
          <cell r="D120" t="str">
            <v>HEAD STOCK</v>
          </cell>
          <cell r="E120">
            <v>63</v>
          </cell>
        </row>
        <row r="121">
          <cell r="B121" t="str">
            <v>615-521C</v>
          </cell>
          <cell r="C121" t="str">
            <v>L32</v>
          </cell>
          <cell r="D121" t="str">
            <v>HEAD STOCK BRACKET</v>
          </cell>
          <cell r="E121">
            <v>14</v>
          </cell>
        </row>
        <row r="122">
          <cell r="B122" t="str">
            <v>617-130C</v>
          </cell>
          <cell r="C122" t="str">
            <v>L32</v>
          </cell>
          <cell r="D122" t="str">
            <v>TOOL POST</v>
          </cell>
          <cell r="E122">
            <v>165</v>
          </cell>
        </row>
        <row r="123">
          <cell r="B123" t="str">
            <v>615-516C</v>
          </cell>
          <cell r="C123" t="str">
            <v>L32</v>
          </cell>
          <cell r="D123" t="str">
            <v>GUIDE BUSH BASE</v>
          </cell>
          <cell r="E123">
            <v>16</v>
          </cell>
        </row>
        <row r="125">
          <cell r="B125" t="str">
            <v>615-516-4A</v>
          </cell>
          <cell r="C125" t="str">
            <v>L32</v>
          </cell>
          <cell r="D125" t="str">
            <v>GUIDE BUSH BASE</v>
          </cell>
          <cell r="E125">
            <v>16</v>
          </cell>
        </row>
        <row r="126">
          <cell r="B126" t="str">
            <v>616-419C</v>
          </cell>
          <cell r="C126" t="str">
            <v>L32</v>
          </cell>
          <cell r="D126" t="str">
            <v>X1 SLIDE</v>
          </cell>
          <cell r="E126">
            <v>21</v>
          </cell>
        </row>
        <row r="129">
          <cell r="B129" t="str">
            <v>616-419-3A</v>
          </cell>
          <cell r="C129" t="str">
            <v>L32</v>
          </cell>
          <cell r="D129" t="str">
            <v>X1 SLIDE</v>
          </cell>
          <cell r="E129">
            <v>21</v>
          </cell>
        </row>
        <row r="130">
          <cell r="B130" t="str">
            <v>616-418C</v>
          </cell>
          <cell r="C130" t="str">
            <v>L32</v>
          </cell>
          <cell r="D130" t="str">
            <v>CROSS SLIDE</v>
          </cell>
          <cell r="E130">
            <v>52</v>
          </cell>
        </row>
        <row r="131">
          <cell r="B131" t="str">
            <v>616-0015C</v>
          </cell>
          <cell r="C131" t="str">
            <v>L32</v>
          </cell>
          <cell r="D131" t="str">
            <v>CROSS SLIDE</v>
          </cell>
          <cell r="E131">
            <v>54</v>
          </cell>
        </row>
        <row r="132">
          <cell r="B132" t="str">
            <v>616-417C</v>
          </cell>
          <cell r="C132" t="str">
            <v>L32</v>
          </cell>
          <cell r="D132" t="str">
            <v>Z2 SLIDE</v>
          </cell>
          <cell r="E132">
            <v>28</v>
          </cell>
        </row>
        <row r="135">
          <cell r="B135" t="str">
            <v>616-417-5A</v>
          </cell>
          <cell r="C135" t="str">
            <v>L32</v>
          </cell>
          <cell r="D135" t="str">
            <v>Z2 SLIDE</v>
          </cell>
          <cell r="E135">
            <v>28</v>
          </cell>
        </row>
        <row r="137">
          <cell r="B137" t="str">
            <v>616-425-1C</v>
          </cell>
          <cell r="C137" t="str">
            <v>L32</v>
          </cell>
          <cell r="D137" t="str">
            <v>Y2 AXIS BASE</v>
          </cell>
          <cell r="E137">
            <v>38</v>
          </cell>
        </row>
        <row r="138">
          <cell r="B138" t="str">
            <v>616-425-2C</v>
          </cell>
          <cell r="C138" t="str">
            <v>L32</v>
          </cell>
          <cell r="D138" t="str">
            <v>Y2 AXIS BASE</v>
          </cell>
          <cell r="E138">
            <v>38</v>
          </cell>
        </row>
        <row r="139">
          <cell r="B139" t="str">
            <v>616-357-1C</v>
          </cell>
          <cell r="C139" t="str">
            <v>L32</v>
          </cell>
          <cell r="D139" t="str">
            <v>BACK SPINDLE BASE</v>
          </cell>
          <cell r="E139">
            <v>31</v>
          </cell>
        </row>
        <row r="140">
          <cell r="B140" t="str">
            <v>616-415-3A</v>
          </cell>
          <cell r="C140" t="str">
            <v>L32</v>
          </cell>
          <cell r="D140" t="str">
            <v>BACK SPINDLE BASE</v>
          </cell>
          <cell r="E140">
            <v>31</v>
          </cell>
        </row>
        <row r="141">
          <cell r="B141" t="str">
            <v>617-128C</v>
          </cell>
          <cell r="C141" t="str">
            <v>L32</v>
          </cell>
          <cell r="D141" t="str">
            <v>BRACKET</v>
          </cell>
          <cell r="E141">
            <v>21</v>
          </cell>
        </row>
        <row r="142">
          <cell r="B142" t="str">
            <v>616-424C</v>
          </cell>
          <cell r="C142" t="str">
            <v>L32</v>
          </cell>
          <cell r="D142" t="str">
            <v>Y2 SLIDE</v>
          </cell>
          <cell r="E142">
            <v>28</v>
          </cell>
        </row>
        <row r="143">
          <cell r="B143" t="str">
            <v>615-425C</v>
          </cell>
          <cell r="C143" t="str">
            <v>L32</v>
          </cell>
          <cell r="D143" t="str">
            <v>MOTOR HOUSING</v>
          </cell>
          <cell r="E143">
            <v>26</v>
          </cell>
        </row>
        <row r="145">
          <cell r="B145" t="str">
            <v>615-425-4A</v>
          </cell>
          <cell r="C145" t="str">
            <v>L32</v>
          </cell>
          <cell r="D145" t="str">
            <v>MOTOR HOUSING</v>
          </cell>
          <cell r="E145">
            <v>26</v>
          </cell>
        </row>
        <row r="147">
          <cell r="B147" t="str">
            <v>617-129-1C</v>
          </cell>
          <cell r="C147" t="str">
            <v>L32</v>
          </cell>
          <cell r="D147" t="str">
            <v>CROSS SLIDE</v>
          </cell>
          <cell r="E147">
            <v>73</v>
          </cell>
        </row>
        <row r="148">
          <cell r="B148" t="str">
            <v xml:space="preserve">KE001-004 </v>
          </cell>
          <cell r="C148" t="str">
            <v>JIG</v>
          </cell>
          <cell r="D148" t="str">
            <v>Subpallet1200</v>
          </cell>
          <cell r="E148">
            <v>550</v>
          </cell>
        </row>
        <row r="149">
          <cell r="B149" t="str">
            <v xml:space="preserve">KE004-001 </v>
          </cell>
          <cell r="C149" t="str">
            <v>JIG</v>
          </cell>
          <cell r="D149" t="str">
            <v>マス260</v>
          </cell>
          <cell r="E149">
            <v>88</v>
          </cell>
        </row>
        <row r="150">
          <cell r="B150" t="str">
            <v>KEI 050-001-1</v>
          </cell>
          <cell r="C150" t="str">
            <v>JIG</v>
          </cell>
          <cell r="D150" t="str">
            <v>CROSS SLIDE</v>
          </cell>
          <cell r="E150">
            <v>183</v>
          </cell>
        </row>
        <row r="151">
          <cell r="B151" t="str">
            <v>KE002-003</v>
          </cell>
          <cell r="C151" t="str">
            <v>JIG</v>
          </cell>
          <cell r="D151" t="str">
            <v>IKERU 60N</v>
          </cell>
          <cell r="E151">
            <v>220</v>
          </cell>
        </row>
        <row r="152">
          <cell r="B152" t="str">
            <v>KEHM510-001</v>
          </cell>
          <cell r="C152" t="str">
            <v>JIG</v>
          </cell>
          <cell r="D152" t="str">
            <v xml:space="preserve">Standard Base </v>
          </cell>
          <cell r="E152">
            <v>178</v>
          </cell>
        </row>
        <row r="153">
          <cell r="B153" t="str">
            <v xml:space="preserve">KE002-002 </v>
          </cell>
          <cell r="C153" t="str">
            <v>JIG</v>
          </cell>
          <cell r="D153" t="str">
            <v>IKERU 80N</v>
          </cell>
          <cell r="E153">
            <v>414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A Change 1 Coating Paint"/>
      <sheetName val="CMJ"/>
      <sheetName val="CMA"/>
      <sheetName val="SMC"/>
      <sheetName val="CCM"/>
      <sheetName val="KIC"/>
    </sheetNames>
    <sheetDataSet>
      <sheetData sheetId="0">
        <row r="20">
          <cell r="C20" t="str">
            <v>0618-081-4</v>
          </cell>
          <cell r="D20" t="str">
            <v>L12</v>
          </cell>
          <cell r="E20" t="str">
            <v>RM BODY</v>
          </cell>
          <cell r="F20">
            <v>872</v>
          </cell>
          <cell r="G20">
            <v>1</v>
          </cell>
          <cell r="H20" t="str">
            <v>PCE</v>
          </cell>
          <cell r="I20">
            <v>261167</v>
          </cell>
          <cell r="J20">
            <v>255935</v>
          </cell>
        </row>
        <row r="21">
          <cell r="C21" t="str">
            <v>0618-084-2</v>
          </cell>
          <cell r="D21" t="str">
            <v>L220E</v>
          </cell>
          <cell r="E21" t="str">
            <v>BED</v>
          </cell>
          <cell r="F21">
            <v>1170</v>
          </cell>
          <cell r="G21">
            <v>1</v>
          </cell>
          <cell r="H21" t="str">
            <v>PCE</v>
          </cell>
          <cell r="I21">
            <v>323000</v>
          </cell>
          <cell r="J21">
            <v>315980</v>
          </cell>
        </row>
        <row r="22">
          <cell r="C22" t="str">
            <v>618-084-13</v>
          </cell>
          <cell r="D22" t="str">
            <v>A320N</v>
          </cell>
          <cell r="E22" t="str">
            <v>BED</v>
          </cell>
          <cell r="F22">
            <v>1170</v>
          </cell>
          <cell r="G22">
            <v>1</v>
          </cell>
          <cell r="H22" t="str">
            <v>PCE</v>
          </cell>
          <cell r="I22">
            <v>417226</v>
          </cell>
          <cell r="J22">
            <v>410206</v>
          </cell>
        </row>
        <row r="23">
          <cell r="C23" t="str">
            <v>0618-087-2</v>
          </cell>
          <cell r="D23" t="str">
            <v>L32</v>
          </cell>
          <cell r="E23" t="str">
            <v>BED</v>
          </cell>
          <cell r="F23">
            <v>1375</v>
          </cell>
          <cell r="G23">
            <v>1</v>
          </cell>
          <cell r="H23" t="str">
            <v>PCE</v>
          </cell>
          <cell r="I23">
            <v>416860</v>
          </cell>
          <cell r="J23">
            <v>408610</v>
          </cell>
        </row>
        <row r="24">
          <cell r="C24" t="str">
            <v>618-087-12F</v>
          </cell>
          <cell r="D24" t="str">
            <v>L32</v>
          </cell>
          <cell r="E24" t="str">
            <v>BED</v>
          </cell>
          <cell r="F24">
            <v>1375</v>
          </cell>
          <cell r="G24">
            <v>1</v>
          </cell>
          <cell r="H24" t="str">
            <v>PCE</v>
          </cell>
          <cell r="I24">
            <v>504830</v>
          </cell>
          <cell r="J24">
            <v>496580</v>
          </cell>
        </row>
        <row r="25">
          <cell r="C25" t="str">
            <v>0618-1001-4</v>
          </cell>
          <cell r="D25" t="str">
            <v>L212</v>
          </cell>
          <cell r="E25" t="str">
            <v>BED</v>
          </cell>
          <cell r="F25">
            <v>1165</v>
          </cell>
          <cell r="G25">
            <v>1</v>
          </cell>
          <cell r="H25" t="str">
            <v>PCE</v>
          </cell>
          <cell r="I25">
            <v>348922</v>
          </cell>
          <cell r="J25">
            <v>341932</v>
          </cell>
        </row>
        <row r="26">
          <cell r="C26" t="str">
            <v>0617-107-1</v>
          </cell>
          <cell r="D26" t="str">
            <v>B1216E</v>
          </cell>
          <cell r="E26" t="str">
            <v>BODY</v>
          </cell>
          <cell r="F26">
            <v>523</v>
          </cell>
          <cell r="G26">
            <v>1</v>
          </cell>
          <cell r="H26" t="str">
            <v>PCE</v>
          </cell>
          <cell r="I26">
            <v>153033</v>
          </cell>
          <cell r="J26">
            <v>149895</v>
          </cell>
        </row>
        <row r="27">
          <cell r="C27" t="str">
            <v>0618-089-2</v>
          </cell>
          <cell r="D27" t="str">
            <v>R50104</v>
          </cell>
          <cell r="E27" t="str">
            <v>BED</v>
          </cell>
          <cell r="F27">
            <v>590</v>
          </cell>
          <cell r="G27">
            <v>1</v>
          </cell>
          <cell r="H27" t="str">
            <v>PCE</v>
          </cell>
          <cell r="I27">
            <v>173688</v>
          </cell>
          <cell r="J27">
            <v>170148</v>
          </cell>
        </row>
        <row r="28">
          <cell r="C28" t="str">
            <v>618-089-4</v>
          </cell>
          <cell r="D28" t="str">
            <v>R50104</v>
          </cell>
          <cell r="E28" t="str">
            <v>BED</v>
          </cell>
          <cell r="F28">
            <v>590</v>
          </cell>
          <cell r="G28">
            <v>1</v>
          </cell>
          <cell r="H28" t="str">
            <v>PCE</v>
          </cell>
          <cell r="I28">
            <v>211878</v>
          </cell>
          <cell r="J28">
            <v>208338</v>
          </cell>
        </row>
        <row r="29">
          <cell r="C29" t="str">
            <v>0618-1002-1</v>
          </cell>
          <cell r="D29" t="str">
            <v>L320E</v>
          </cell>
          <cell r="E29" t="str">
            <v>BED</v>
          </cell>
          <cell r="F29">
            <v>1330</v>
          </cell>
          <cell r="G29">
            <v>1</v>
          </cell>
          <cell r="H29" t="str">
            <v>PCE</v>
          </cell>
          <cell r="I29">
            <v>402010</v>
          </cell>
          <cell r="J29">
            <v>394030</v>
          </cell>
        </row>
        <row r="30">
          <cell r="C30" t="str">
            <v>0615-471</v>
          </cell>
          <cell r="D30" t="str">
            <v>B1216E</v>
          </cell>
          <cell r="E30" t="str">
            <v>RM Head Stock</v>
          </cell>
          <cell r="F30">
            <v>35.5</v>
          </cell>
          <cell r="G30">
            <v>1</v>
          </cell>
          <cell r="H30" t="str">
            <v>PCE</v>
          </cell>
          <cell r="I30">
            <v>11596</v>
          </cell>
          <cell r="J30">
            <v>11383</v>
          </cell>
        </row>
        <row r="31">
          <cell r="C31" t="str">
            <v>0617-106-1</v>
          </cell>
          <cell r="D31" t="str">
            <v>B1216E</v>
          </cell>
          <cell r="E31" t="str">
            <v>RM Head Stock</v>
          </cell>
          <cell r="F31">
            <v>94</v>
          </cell>
          <cell r="G31">
            <v>1</v>
          </cell>
          <cell r="H31" t="str">
            <v>PCE</v>
          </cell>
          <cell r="I31">
            <v>28154</v>
          </cell>
          <cell r="J31">
            <v>27590</v>
          </cell>
        </row>
        <row r="32">
          <cell r="C32" t="str">
            <v>0616-157</v>
          </cell>
          <cell r="D32" t="str">
            <v>B1216E</v>
          </cell>
          <cell r="E32" t="str">
            <v>RM Y2 Slide Base</v>
          </cell>
          <cell r="F32">
            <v>11.5</v>
          </cell>
          <cell r="G32">
            <v>1</v>
          </cell>
          <cell r="H32" t="str">
            <v>PCE</v>
          </cell>
          <cell r="I32">
            <v>4204</v>
          </cell>
          <cell r="J32">
            <v>4135</v>
          </cell>
        </row>
        <row r="33">
          <cell r="C33" t="str">
            <v>0616-240</v>
          </cell>
          <cell r="D33" t="str">
            <v>B1216E</v>
          </cell>
          <cell r="E33" t="str">
            <v>RM Y2 Slide Base</v>
          </cell>
          <cell r="F33">
            <v>31</v>
          </cell>
          <cell r="G33">
            <v>1</v>
          </cell>
          <cell r="H33" t="str">
            <v>PCE</v>
          </cell>
          <cell r="I33">
            <v>9999</v>
          </cell>
          <cell r="J33">
            <v>9813</v>
          </cell>
        </row>
        <row r="34">
          <cell r="C34" t="str">
            <v>0616-370-1</v>
          </cell>
          <cell r="D34" t="str">
            <v>B1216E</v>
          </cell>
          <cell r="E34" t="str">
            <v>Sleeve Holder</v>
          </cell>
          <cell r="F34">
            <v>33.5</v>
          </cell>
          <cell r="G34">
            <v>1</v>
          </cell>
          <cell r="H34" t="str">
            <v>PCE</v>
          </cell>
          <cell r="I34">
            <v>10951</v>
          </cell>
          <cell r="J34">
            <v>10750</v>
          </cell>
        </row>
        <row r="35">
          <cell r="C35" t="str">
            <v>0615-200</v>
          </cell>
          <cell r="D35" t="str">
            <v>B1216E</v>
          </cell>
          <cell r="E35" t="str">
            <v>Sleeve Holder</v>
          </cell>
          <cell r="F35">
            <v>10.5</v>
          </cell>
          <cell r="G35">
            <v>1</v>
          </cell>
          <cell r="H35" t="str">
            <v>PCE</v>
          </cell>
          <cell r="I35">
            <v>4012</v>
          </cell>
          <cell r="J35">
            <v>3949</v>
          </cell>
        </row>
        <row r="36">
          <cell r="C36" t="str">
            <v>0615-468-2</v>
          </cell>
          <cell r="D36" t="str">
            <v>L12</v>
          </cell>
          <cell r="E36" t="str">
            <v>RM HEAD STOCK</v>
          </cell>
          <cell r="F36">
            <v>37.5</v>
          </cell>
          <cell r="G36">
            <v>1</v>
          </cell>
          <cell r="H36" t="str">
            <v>PCE</v>
          </cell>
          <cell r="I36">
            <v>12107</v>
          </cell>
          <cell r="J36">
            <v>11882</v>
          </cell>
        </row>
        <row r="37">
          <cell r="C37" t="str">
            <v>0615-464-2</v>
          </cell>
          <cell r="D37" t="str">
            <v>L12</v>
          </cell>
          <cell r="E37" t="str">
            <v>PM X SLIDE</v>
          </cell>
          <cell r="F37">
            <v>18</v>
          </cell>
          <cell r="G37">
            <v>1</v>
          </cell>
          <cell r="H37" t="str">
            <v>PCE</v>
          </cell>
          <cell r="I37">
            <v>5676</v>
          </cell>
          <cell r="J37">
            <v>5568</v>
          </cell>
        </row>
        <row r="38">
          <cell r="C38" t="str">
            <v>0616-388</v>
          </cell>
          <cell r="D38" t="str">
            <v>L12</v>
          </cell>
          <cell r="E38" t="str">
            <v>RM HEAD STOCK</v>
          </cell>
          <cell r="F38">
            <v>17</v>
          </cell>
          <cell r="G38">
            <v>1</v>
          </cell>
          <cell r="H38" t="str">
            <v>PCE</v>
          </cell>
          <cell r="I38">
            <v>5434</v>
          </cell>
          <cell r="J38">
            <v>5332</v>
          </cell>
        </row>
        <row r="39">
          <cell r="C39" t="str">
            <v>616-388-6R</v>
          </cell>
          <cell r="D39" t="str">
            <v>L12</v>
          </cell>
          <cell r="E39" t="str">
            <v>RM HEAD STOCK</v>
          </cell>
          <cell r="F39">
            <v>17</v>
          </cell>
          <cell r="G39">
            <v>1</v>
          </cell>
          <cell r="H39" t="str">
            <v>PCE</v>
          </cell>
          <cell r="I39">
            <v>17513</v>
          </cell>
          <cell r="J39">
            <v>17411</v>
          </cell>
        </row>
        <row r="40">
          <cell r="C40" t="str">
            <v>0614-290</v>
          </cell>
          <cell r="D40" t="str">
            <v>L12</v>
          </cell>
          <cell r="E40" t="str">
            <v>Lever Bracket</v>
          </cell>
          <cell r="F40">
            <v>3</v>
          </cell>
          <cell r="G40">
            <v>1</v>
          </cell>
          <cell r="H40" t="str">
            <v>PCE</v>
          </cell>
          <cell r="I40">
            <v>989</v>
          </cell>
          <cell r="J40">
            <v>971</v>
          </cell>
        </row>
        <row r="41">
          <cell r="C41" t="str">
            <v>0614-272-1</v>
          </cell>
          <cell r="D41" t="str">
            <v>L12</v>
          </cell>
          <cell r="E41" t="str">
            <v>Chucking Lever</v>
          </cell>
          <cell r="F41">
            <v>2</v>
          </cell>
          <cell r="G41">
            <v>1</v>
          </cell>
          <cell r="H41" t="str">
            <v>PCE</v>
          </cell>
          <cell r="I41">
            <v>675</v>
          </cell>
          <cell r="J41">
            <v>663</v>
          </cell>
        </row>
        <row r="42">
          <cell r="C42" t="str">
            <v>0613-238-2</v>
          </cell>
          <cell r="D42" t="str">
            <v>L12</v>
          </cell>
          <cell r="E42" t="str">
            <v>Moter Bracket</v>
          </cell>
          <cell r="F42">
            <v>6</v>
          </cell>
          <cell r="G42">
            <v>1</v>
          </cell>
          <cell r="H42" t="str">
            <v>PCE</v>
          </cell>
          <cell r="I42">
            <v>1956</v>
          </cell>
          <cell r="J42">
            <v>1920</v>
          </cell>
        </row>
        <row r="43">
          <cell r="C43" t="str">
            <v>0616-385</v>
          </cell>
          <cell r="D43" t="str">
            <v>L12</v>
          </cell>
          <cell r="E43" t="str">
            <v>Bracket</v>
          </cell>
          <cell r="F43">
            <v>10</v>
          </cell>
          <cell r="G43">
            <v>1</v>
          </cell>
          <cell r="H43" t="str">
            <v>PCE</v>
          </cell>
          <cell r="I43">
            <v>3197</v>
          </cell>
          <cell r="J43">
            <v>3137</v>
          </cell>
        </row>
        <row r="44">
          <cell r="C44" t="str">
            <v>0615-467-1</v>
          </cell>
          <cell r="D44" t="str">
            <v>L12</v>
          </cell>
          <cell r="E44" t="str">
            <v>Bracket 1/2</v>
          </cell>
          <cell r="F44">
            <v>10</v>
          </cell>
          <cell r="G44">
            <v>1</v>
          </cell>
          <cell r="H44" t="str">
            <v>PCE</v>
          </cell>
          <cell r="I44">
            <v>3197</v>
          </cell>
          <cell r="J44">
            <v>3137</v>
          </cell>
        </row>
        <row r="45">
          <cell r="C45" t="str">
            <v>0614-285-2</v>
          </cell>
          <cell r="D45" t="str">
            <v>L12</v>
          </cell>
          <cell r="E45" t="str">
            <v>Z2 SLIDE</v>
          </cell>
          <cell r="F45">
            <v>9</v>
          </cell>
          <cell r="G45">
            <v>1</v>
          </cell>
          <cell r="H45" t="str">
            <v>PCE</v>
          </cell>
          <cell r="I45">
            <v>2698</v>
          </cell>
          <cell r="J45">
            <v>2644</v>
          </cell>
        </row>
        <row r="46">
          <cell r="C46" t="str">
            <v>0614-286-1</v>
          </cell>
          <cell r="D46" t="str">
            <v>L12</v>
          </cell>
          <cell r="E46" t="str">
            <v>Bracket 1/2</v>
          </cell>
          <cell r="F46">
            <v>6</v>
          </cell>
          <cell r="G46">
            <v>1</v>
          </cell>
          <cell r="H46" t="str">
            <v>PCE</v>
          </cell>
          <cell r="I46">
            <v>1892</v>
          </cell>
          <cell r="J46">
            <v>1856</v>
          </cell>
        </row>
        <row r="47">
          <cell r="C47" t="str">
            <v>0614-287-1</v>
          </cell>
          <cell r="D47" t="str">
            <v>L12</v>
          </cell>
          <cell r="E47" t="str">
            <v>Sleeve Holder</v>
          </cell>
          <cell r="F47">
            <v>13</v>
          </cell>
          <cell r="G47">
            <v>1</v>
          </cell>
          <cell r="H47" t="str">
            <v>PCE</v>
          </cell>
          <cell r="I47">
            <v>4009</v>
          </cell>
          <cell r="J47">
            <v>3931</v>
          </cell>
        </row>
        <row r="48">
          <cell r="C48" t="str">
            <v>0614-220</v>
          </cell>
          <cell r="D48" t="str">
            <v>L12</v>
          </cell>
          <cell r="E48" t="str">
            <v>Chucking Lever</v>
          </cell>
          <cell r="F48">
            <v>2</v>
          </cell>
          <cell r="G48">
            <v>1</v>
          </cell>
          <cell r="H48" t="str">
            <v>PCE</v>
          </cell>
          <cell r="I48">
            <v>675</v>
          </cell>
          <cell r="J48">
            <v>663</v>
          </cell>
        </row>
        <row r="49">
          <cell r="C49" t="str">
            <v>0616-386-1</v>
          </cell>
          <cell r="D49" t="str">
            <v>L12</v>
          </cell>
          <cell r="E49" t="str">
            <v>Cross slide</v>
          </cell>
          <cell r="F49">
            <v>22</v>
          </cell>
          <cell r="G49">
            <v>1</v>
          </cell>
          <cell r="H49" t="str">
            <v>PCE</v>
          </cell>
          <cell r="I49">
            <v>6680</v>
          </cell>
          <cell r="J49">
            <v>6548</v>
          </cell>
        </row>
        <row r="50">
          <cell r="C50" t="str">
            <v>616-386-4R</v>
          </cell>
          <cell r="D50" t="str">
            <v>L12</v>
          </cell>
          <cell r="E50" t="str">
            <v>Cross slide</v>
          </cell>
          <cell r="F50">
            <v>22</v>
          </cell>
          <cell r="G50">
            <v>1</v>
          </cell>
          <cell r="H50" t="str">
            <v>PCE</v>
          </cell>
          <cell r="I50">
            <v>21994</v>
          </cell>
          <cell r="J50">
            <v>21862</v>
          </cell>
        </row>
        <row r="51">
          <cell r="C51" t="str">
            <v>0616-387-3</v>
          </cell>
          <cell r="D51" t="str">
            <v>L12</v>
          </cell>
          <cell r="E51" t="str">
            <v>Cross slide</v>
          </cell>
          <cell r="F51">
            <v>26</v>
          </cell>
          <cell r="G51">
            <v>1</v>
          </cell>
          <cell r="H51" t="str">
            <v>PCE</v>
          </cell>
          <cell r="I51">
            <v>7896</v>
          </cell>
          <cell r="J51">
            <v>7740</v>
          </cell>
        </row>
        <row r="52">
          <cell r="C52" t="str">
            <v>0617-112-1</v>
          </cell>
          <cell r="D52" t="str">
            <v>L12</v>
          </cell>
          <cell r="E52" t="str">
            <v>Tool post</v>
          </cell>
          <cell r="F52">
            <v>126</v>
          </cell>
          <cell r="G52">
            <v>1</v>
          </cell>
          <cell r="H52" t="str">
            <v>PCE</v>
          </cell>
          <cell r="I52">
            <v>38260</v>
          </cell>
          <cell r="J52">
            <v>37504</v>
          </cell>
        </row>
        <row r="53">
          <cell r="C53" t="str">
            <v>617-112-5R</v>
          </cell>
          <cell r="D53" t="str">
            <v>L12</v>
          </cell>
          <cell r="E53" t="str">
            <v>Tool post</v>
          </cell>
          <cell r="F53">
            <v>126</v>
          </cell>
          <cell r="G53">
            <v>1</v>
          </cell>
          <cell r="H53" t="str">
            <v>PCE</v>
          </cell>
          <cell r="I53">
            <v>64195</v>
          </cell>
          <cell r="J53">
            <v>63439</v>
          </cell>
        </row>
        <row r="54">
          <cell r="C54" t="str">
            <v>0615-470</v>
          </cell>
          <cell r="D54" t="str">
            <v>L12</v>
          </cell>
          <cell r="E54" t="str">
            <v>Bracket</v>
          </cell>
          <cell r="F54">
            <v>9</v>
          </cell>
          <cell r="G54">
            <v>1</v>
          </cell>
          <cell r="H54" t="str">
            <v>PCE</v>
          </cell>
          <cell r="I54">
            <v>3166</v>
          </cell>
          <cell r="J54">
            <v>3112</v>
          </cell>
        </row>
        <row r="55">
          <cell r="C55" t="str">
            <v>0642-125</v>
          </cell>
          <cell r="D55" t="str">
            <v>L12</v>
          </cell>
          <cell r="E55" t="str">
            <v>Sleeve Holder</v>
          </cell>
          <cell r="F55">
            <v>2</v>
          </cell>
          <cell r="G55">
            <v>1</v>
          </cell>
          <cell r="H55" t="str">
            <v>PCE</v>
          </cell>
          <cell r="I55">
            <v>1028</v>
          </cell>
          <cell r="J55">
            <v>1016</v>
          </cell>
        </row>
        <row r="56">
          <cell r="C56" t="str">
            <v>0613-256-2</v>
          </cell>
          <cell r="D56" t="str">
            <v>L12</v>
          </cell>
          <cell r="E56" t="str">
            <v>Moter Bracket</v>
          </cell>
          <cell r="F56">
            <v>7.5</v>
          </cell>
          <cell r="G56">
            <v>1</v>
          </cell>
          <cell r="H56" t="str">
            <v>PCE</v>
          </cell>
          <cell r="I56">
            <v>2365</v>
          </cell>
          <cell r="J56">
            <v>2365</v>
          </cell>
        </row>
        <row r="57">
          <cell r="C57" t="str">
            <v>0615-465</v>
          </cell>
          <cell r="D57" t="str">
            <v>L12</v>
          </cell>
          <cell r="E57" t="str">
            <v>Sleeve Holder</v>
          </cell>
          <cell r="F57">
            <v>6</v>
          </cell>
          <cell r="G57">
            <v>1</v>
          </cell>
          <cell r="H57" t="str">
            <v>PCE</v>
          </cell>
          <cell r="I57">
            <v>2325</v>
          </cell>
          <cell r="J57">
            <v>2289</v>
          </cell>
        </row>
        <row r="58">
          <cell r="C58" t="str">
            <v>0616-413-1</v>
          </cell>
          <cell r="D58" t="str">
            <v>L220E</v>
          </cell>
          <cell r="E58" t="str">
            <v>RM Head Stock</v>
          </cell>
          <cell r="F58">
            <v>43</v>
          </cell>
          <cell r="G58">
            <v>1</v>
          </cell>
          <cell r="H58" t="str">
            <v>PCE</v>
          </cell>
          <cell r="I58">
            <v>13355</v>
          </cell>
          <cell r="J58">
            <v>13097</v>
          </cell>
        </row>
        <row r="59">
          <cell r="C59" t="str">
            <v>616-413-3A</v>
          </cell>
          <cell r="D59" t="str">
            <v>L220E</v>
          </cell>
          <cell r="E59" t="str">
            <v>RM Head Stock</v>
          </cell>
          <cell r="F59">
            <v>43</v>
          </cell>
          <cell r="G59">
            <v>1</v>
          </cell>
          <cell r="H59" t="str">
            <v>PCE</v>
          </cell>
          <cell r="I59">
            <v>27432</v>
          </cell>
          <cell r="J59">
            <v>27174</v>
          </cell>
        </row>
        <row r="60">
          <cell r="C60" t="str">
            <v>0617-117-2</v>
          </cell>
          <cell r="D60" t="str">
            <v>L220E</v>
          </cell>
          <cell r="E60" t="str">
            <v>RM Tool Post</v>
          </cell>
          <cell r="F60">
            <v>144</v>
          </cell>
          <cell r="G60">
            <v>1</v>
          </cell>
          <cell r="H60" t="str">
            <v>PCE</v>
          </cell>
          <cell r="I60">
            <v>43726</v>
          </cell>
          <cell r="J60">
            <v>42862</v>
          </cell>
        </row>
        <row r="61">
          <cell r="C61" t="str">
            <v>617-117-17A</v>
          </cell>
          <cell r="D61" t="str">
            <v>L220E</v>
          </cell>
          <cell r="E61" t="str">
            <v>RM Tool Post</v>
          </cell>
          <cell r="F61">
            <v>144</v>
          </cell>
          <cell r="G61">
            <v>1</v>
          </cell>
          <cell r="H61" t="str">
            <v>PCE</v>
          </cell>
          <cell r="I61">
            <v>90024</v>
          </cell>
          <cell r="J61">
            <v>89160</v>
          </cell>
        </row>
        <row r="62">
          <cell r="C62" t="str">
            <v>0617-116-3</v>
          </cell>
          <cell r="D62" t="str">
            <v>L220E</v>
          </cell>
          <cell r="E62" t="str">
            <v>RM Scross Slide</v>
          </cell>
          <cell r="F62">
            <v>46</v>
          </cell>
          <cell r="G62">
            <v>1</v>
          </cell>
          <cell r="H62" t="str">
            <v>PCE</v>
          </cell>
          <cell r="I62">
            <v>14502</v>
          </cell>
          <cell r="J62">
            <v>14226</v>
          </cell>
        </row>
        <row r="63">
          <cell r="C63" t="str">
            <v>617-116-9A</v>
          </cell>
          <cell r="D63" t="str">
            <v>L220E</v>
          </cell>
          <cell r="E63" t="str">
            <v>RM Scross Slide</v>
          </cell>
          <cell r="F63">
            <v>46</v>
          </cell>
          <cell r="G63">
            <v>1</v>
          </cell>
          <cell r="H63" t="str">
            <v>PCE</v>
          </cell>
          <cell r="I63">
            <v>32625</v>
          </cell>
          <cell r="J63">
            <v>32349</v>
          </cell>
        </row>
        <row r="64">
          <cell r="C64" t="str">
            <v>0615-478</v>
          </cell>
          <cell r="D64" t="str">
            <v>L220E</v>
          </cell>
          <cell r="E64" t="str">
            <v>RM Z2-Slide</v>
          </cell>
          <cell r="F64">
            <v>30</v>
          </cell>
          <cell r="G64">
            <v>1</v>
          </cell>
          <cell r="H64" t="str">
            <v>PCE</v>
          </cell>
          <cell r="I64">
            <v>8986</v>
          </cell>
          <cell r="J64">
            <v>8806</v>
          </cell>
        </row>
        <row r="65">
          <cell r="C65" t="str">
            <v>615-478-4A</v>
          </cell>
          <cell r="D65" t="str">
            <v>L220E</v>
          </cell>
          <cell r="E65" t="str">
            <v>RM Z2-Slide</v>
          </cell>
          <cell r="F65">
            <v>30</v>
          </cell>
          <cell r="G65">
            <v>1</v>
          </cell>
          <cell r="H65" t="str">
            <v>PCE</v>
          </cell>
          <cell r="I65">
            <v>22968</v>
          </cell>
          <cell r="J65">
            <v>22788</v>
          </cell>
        </row>
        <row r="66">
          <cell r="C66" t="str">
            <v>0614-291-1</v>
          </cell>
          <cell r="D66" t="str">
            <v>L220E</v>
          </cell>
          <cell r="E66" t="str">
            <v>Base</v>
          </cell>
          <cell r="F66">
            <v>7</v>
          </cell>
          <cell r="G66">
            <v>1</v>
          </cell>
          <cell r="H66" t="str">
            <v>PCE</v>
          </cell>
          <cell r="I66">
            <v>2207</v>
          </cell>
          <cell r="J66">
            <v>2165</v>
          </cell>
        </row>
        <row r="67">
          <cell r="C67" t="str">
            <v>614-291-4R</v>
          </cell>
          <cell r="D67" t="str">
            <v>L220E</v>
          </cell>
          <cell r="E67" t="str">
            <v>Base</v>
          </cell>
          <cell r="F67">
            <v>7</v>
          </cell>
          <cell r="G67">
            <v>1</v>
          </cell>
          <cell r="H67" t="str">
            <v>PCE</v>
          </cell>
          <cell r="I67">
            <v>12129</v>
          </cell>
          <cell r="J67">
            <v>12087</v>
          </cell>
        </row>
        <row r="68">
          <cell r="C68" t="str">
            <v>0615-486</v>
          </cell>
          <cell r="D68" t="str">
            <v>L220E</v>
          </cell>
          <cell r="E68" t="str">
            <v>X Slide</v>
          </cell>
          <cell r="F68">
            <v>16</v>
          </cell>
          <cell r="G68">
            <v>1</v>
          </cell>
          <cell r="H68" t="str">
            <v>PCE</v>
          </cell>
          <cell r="I68">
            <v>4795</v>
          </cell>
          <cell r="J68">
            <v>4795</v>
          </cell>
        </row>
        <row r="69">
          <cell r="C69" t="str">
            <v>615-486-12A</v>
          </cell>
          <cell r="D69" t="str">
            <v>L220E</v>
          </cell>
          <cell r="E69" t="str">
            <v>X Slide</v>
          </cell>
          <cell r="F69">
            <v>16</v>
          </cell>
          <cell r="G69">
            <v>1</v>
          </cell>
          <cell r="H69" t="str">
            <v>PCE</v>
          </cell>
          <cell r="I69">
            <v>19580</v>
          </cell>
          <cell r="J69">
            <v>19580</v>
          </cell>
        </row>
        <row r="70">
          <cell r="C70" t="str">
            <v>0617-118-2</v>
          </cell>
          <cell r="D70" t="str">
            <v>L220E</v>
          </cell>
          <cell r="E70" t="str">
            <v>Cross Slide</v>
          </cell>
          <cell r="F70">
            <v>37</v>
          </cell>
          <cell r="G70">
            <v>1</v>
          </cell>
          <cell r="H70" t="str">
            <v>PCE</v>
          </cell>
          <cell r="I70">
            <v>11081</v>
          </cell>
          <cell r="J70">
            <v>11081</v>
          </cell>
        </row>
        <row r="71">
          <cell r="C71" t="str">
            <v>617-118-7A</v>
          </cell>
          <cell r="D71" t="str">
            <v>L220E</v>
          </cell>
          <cell r="E71" t="str">
            <v>Cross Slide</v>
          </cell>
          <cell r="F71">
            <v>37</v>
          </cell>
          <cell r="G71">
            <v>1</v>
          </cell>
          <cell r="H71" t="str">
            <v>PCE</v>
          </cell>
          <cell r="I71">
            <v>30550</v>
          </cell>
          <cell r="J71">
            <v>30550</v>
          </cell>
        </row>
        <row r="72">
          <cell r="C72" t="str">
            <v>0615-511</v>
          </cell>
          <cell r="D72" t="str">
            <v>L220E</v>
          </cell>
          <cell r="E72" t="str">
            <v>RM Head Stock</v>
          </cell>
          <cell r="F72">
            <v>36</v>
          </cell>
          <cell r="G72">
            <v>1</v>
          </cell>
          <cell r="H72" t="str">
            <v>PCE</v>
          </cell>
          <cell r="I72">
            <v>11280</v>
          </cell>
          <cell r="J72">
            <v>11064</v>
          </cell>
        </row>
        <row r="73">
          <cell r="C73" t="str">
            <v>615-511-5A</v>
          </cell>
          <cell r="D73" t="str">
            <v>L220E</v>
          </cell>
          <cell r="E73" t="str">
            <v>RM Head Stock</v>
          </cell>
          <cell r="F73">
            <v>36</v>
          </cell>
          <cell r="G73">
            <v>1</v>
          </cell>
          <cell r="H73" t="str">
            <v>PCE</v>
          </cell>
          <cell r="I73">
            <v>26103</v>
          </cell>
          <cell r="J73">
            <v>25887</v>
          </cell>
        </row>
        <row r="74">
          <cell r="C74" t="str">
            <v>0615-484</v>
          </cell>
          <cell r="D74" t="str">
            <v>L220E</v>
          </cell>
          <cell r="E74" t="str">
            <v>RM-Z2 Slide</v>
          </cell>
          <cell r="F74">
            <v>20</v>
          </cell>
          <cell r="G74">
            <v>1</v>
          </cell>
          <cell r="H74" t="str">
            <v>PCE</v>
          </cell>
          <cell r="I74">
            <v>6128</v>
          </cell>
          <cell r="J74">
            <v>6008</v>
          </cell>
        </row>
        <row r="75">
          <cell r="C75" t="str">
            <v>615-484-3R</v>
          </cell>
          <cell r="D75" t="str">
            <v>L220E</v>
          </cell>
          <cell r="E75" t="str">
            <v>RM-Z2 Slide</v>
          </cell>
          <cell r="F75">
            <v>20</v>
          </cell>
          <cell r="G75">
            <v>1</v>
          </cell>
          <cell r="H75" t="str">
            <v>PCE</v>
          </cell>
          <cell r="I75">
            <v>20800</v>
          </cell>
          <cell r="J75">
            <v>20680</v>
          </cell>
        </row>
        <row r="76">
          <cell r="C76" t="str">
            <v>0615-408-1</v>
          </cell>
          <cell r="D76" t="str">
            <v>L220E</v>
          </cell>
          <cell r="E76" t="str">
            <v>RM BRACKET</v>
          </cell>
          <cell r="F76">
            <v>9.5</v>
          </cell>
          <cell r="G76">
            <v>1</v>
          </cell>
          <cell r="H76" t="str">
            <v>PCE</v>
          </cell>
          <cell r="I76">
            <v>3137</v>
          </cell>
          <cell r="J76">
            <v>3080</v>
          </cell>
        </row>
        <row r="77">
          <cell r="C77" t="str">
            <v>0615-507-2</v>
          </cell>
          <cell r="D77" t="str">
            <v>L220E</v>
          </cell>
          <cell r="E77" t="str">
            <v>RM Head Stock</v>
          </cell>
          <cell r="F77">
            <v>35</v>
          </cell>
          <cell r="G77">
            <v>1</v>
          </cell>
          <cell r="H77" t="str">
            <v>PCE</v>
          </cell>
          <cell r="I77">
            <v>11799</v>
          </cell>
          <cell r="J77">
            <v>11589</v>
          </cell>
        </row>
        <row r="78">
          <cell r="C78" t="str">
            <v>615-507-8R</v>
          </cell>
          <cell r="D78" t="str">
            <v>L220E</v>
          </cell>
          <cell r="E78" t="str">
            <v>RM Head Stock</v>
          </cell>
          <cell r="F78">
            <v>35</v>
          </cell>
          <cell r="G78">
            <v>1</v>
          </cell>
          <cell r="H78" t="str">
            <v>PCE</v>
          </cell>
          <cell r="I78">
            <v>28500</v>
          </cell>
          <cell r="J78">
            <v>28290</v>
          </cell>
        </row>
        <row r="79">
          <cell r="C79" t="str">
            <v>0616-354-3</v>
          </cell>
          <cell r="D79" t="str">
            <v>L220E</v>
          </cell>
          <cell r="E79" t="str">
            <v>RM Y2 Slide Base</v>
          </cell>
          <cell r="F79">
            <v>35</v>
          </cell>
          <cell r="G79">
            <v>1</v>
          </cell>
          <cell r="H79" t="str">
            <v>PCE</v>
          </cell>
          <cell r="I79">
            <v>11290</v>
          </cell>
          <cell r="J79">
            <v>11080</v>
          </cell>
        </row>
        <row r="80">
          <cell r="C80" t="str">
            <v>0612-060</v>
          </cell>
          <cell r="D80" t="str">
            <v>L220E</v>
          </cell>
          <cell r="E80" t="str">
            <v>Sleeve Holder</v>
          </cell>
          <cell r="F80">
            <v>4</v>
          </cell>
          <cell r="G80">
            <v>1</v>
          </cell>
          <cell r="H80" t="str">
            <v>PCE</v>
          </cell>
          <cell r="I80">
            <v>1779</v>
          </cell>
          <cell r="J80">
            <v>1755</v>
          </cell>
        </row>
        <row r="81">
          <cell r="C81" t="str">
            <v>0615-509</v>
          </cell>
          <cell r="D81" t="str">
            <v>A320N</v>
          </cell>
          <cell r="E81" t="str">
            <v>HEAD STOCK</v>
          </cell>
          <cell r="F81">
            <v>42</v>
          </cell>
          <cell r="G81">
            <v>1</v>
          </cell>
          <cell r="H81" t="str">
            <v>PCE</v>
          </cell>
          <cell r="I81">
            <v>13450</v>
          </cell>
          <cell r="J81">
            <v>13198</v>
          </cell>
        </row>
        <row r="82">
          <cell r="C82" t="str">
            <v>615-509-5A</v>
          </cell>
          <cell r="D82" t="str">
            <v>A320N</v>
          </cell>
          <cell r="E82" t="str">
            <v>HEAD STOCK</v>
          </cell>
          <cell r="F82">
            <v>42</v>
          </cell>
          <cell r="G82">
            <v>1</v>
          </cell>
          <cell r="H82" t="str">
            <v>PCE</v>
          </cell>
          <cell r="I82">
            <v>29952</v>
          </cell>
          <cell r="J82">
            <v>29700</v>
          </cell>
        </row>
        <row r="83">
          <cell r="C83" t="str">
            <v>0615-510</v>
          </cell>
          <cell r="D83" t="str">
            <v>A320N</v>
          </cell>
          <cell r="E83" t="str">
            <v>BACK HEAD STOCK</v>
          </cell>
          <cell r="F83">
            <v>37</v>
          </cell>
          <cell r="G83">
            <v>1</v>
          </cell>
          <cell r="H83" t="str">
            <v>PCE</v>
          </cell>
          <cell r="I83">
            <v>11849</v>
          </cell>
          <cell r="J83">
            <v>11627</v>
          </cell>
        </row>
        <row r="84">
          <cell r="C84" t="str">
            <v>615-510A</v>
          </cell>
          <cell r="D84" t="str">
            <v>A320N</v>
          </cell>
          <cell r="E84" t="str">
            <v>BACK HEAD STOCK</v>
          </cell>
          <cell r="F84">
            <v>37</v>
          </cell>
          <cell r="G84">
            <v>1</v>
          </cell>
          <cell r="H84" t="str">
            <v>PCE</v>
          </cell>
          <cell r="I84">
            <v>25969</v>
          </cell>
          <cell r="J84">
            <v>25747</v>
          </cell>
        </row>
        <row r="85">
          <cell r="C85" t="str">
            <v>0617-115-1</v>
          </cell>
          <cell r="D85" t="str">
            <v>A320N</v>
          </cell>
          <cell r="E85" t="str">
            <v>Tool Post</v>
          </cell>
          <cell r="F85">
            <v>141</v>
          </cell>
          <cell r="G85">
            <v>1</v>
          </cell>
          <cell r="H85" t="str">
            <v>PCE</v>
          </cell>
          <cell r="I85">
            <v>41694</v>
          </cell>
          <cell r="J85">
            <v>40848</v>
          </cell>
        </row>
        <row r="86">
          <cell r="C86" t="str">
            <v>617-123-6A</v>
          </cell>
          <cell r="D86" t="str">
            <v>A320N</v>
          </cell>
          <cell r="E86" t="str">
            <v>Tool Post</v>
          </cell>
          <cell r="F86">
            <v>141</v>
          </cell>
          <cell r="G86">
            <v>1</v>
          </cell>
          <cell r="H86" t="str">
            <v>PCE</v>
          </cell>
          <cell r="I86">
            <v>90876</v>
          </cell>
          <cell r="J86">
            <v>90030</v>
          </cell>
        </row>
        <row r="87">
          <cell r="C87" t="str">
            <v>0616-397-1</v>
          </cell>
          <cell r="D87" t="str">
            <v>A320N</v>
          </cell>
          <cell r="E87" t="str">
            <v>X Slide</v>
          </cell>
          <cell r="F87">
            <v>19</v>
          </cell>
          <cell r="G87">
            <v>1</v>
          </cell>
          <cell r="H87" t="str">
            <v>PCE</v>
          </cell>
          <cell r="I87">
            <v>6521</v>
          </cell>
          <cell r="J87">
            <v>6407</v>
          </cell>
        </row>
        <row r="88">
          <cell r="C88" t="str">
            <v>616-432-6A</v>
          </cell>
          <cell r="D88" t="str">
            <v>A320N</v>
          </cell>
          <cell r="E88" t="str">
            <v>X Slide</v>
          </cell>
          <cell r="F88">
            <v>19</v>
          </cell>
          <cell r="G88">
            <v>1</v>
          </cell>
          <cell r="H88" t="str">
            <v>PCE</v>
          </cell>
          <cell r="I88">
            <v>22033</v>
          </cell>
          <cell r="J88">
            <v>21919</v>
          </cell>
        </row>
        <row r="89">
          <cell r="C89" t="str">
            <v>0616-398-1</v>
          </cell>
          <cell r="D89" t="str">
            <v>A320N</v>
          </cell>
          <cell r="E89" t="str">
            <v>Cross Slide</v>
          </cell>
          <cell r="F89">
            <v>43</v>
          </cell>
          <cell r="G89">
            <v>1</v>
          </cell>
          <cell r="H89" t="str">
            <v>PCE</v>
          </cell>
          <cell r="I89">
            <v>13946</v>
          </cell>
          <cell r="J89">
            <v>13688</v>
          </cell>
        </row>
        <row r="90">
          <cell r="C90" t="str">
            <v>616-398-5A</v>
          </cell>
          <cell r="D90" t="str">
            <v>A320N</v>
          </cell>
          <cell r="E90" t="str">
            <v>Cross Slide</v>
          </cell>
          <cell r="F90">
            <v>43</v>
          </cell>
          <cell r="G90">
            <v>1</v>
          </cell>
          <cell r="H90" t="str">
            <v>PCE</v>
          </cell>
          <cell r="I90">
            <v>37982</v>
          </cell>
          <cell r="J90">
            <v>37724</v>
          </cell>
        </row>
        <row r="91">
          <cell r="C91" t="str">
            <v>0615-479</v>
          </cell>
          <cell r="D91" t="str">
            <v>A320N</v>
          </cell>
          <cell r="E91" t="str">
            <v>Head Stock Braket</v>
          </cell>
          <cell r="F91">
            <v>12</v>
          </cell>
          <cell r="G91">
            <v>1</v>
          </cell>
          <cell r="H91" t="str">
            <v>PCE</v>
          </cell>
          <cell r="I91">
            <v>3679</v>
          </cell>
          <cell r="J91">
            <v>3607</v>
          </cell>
        </row>
        <row r="92">
          <cell r="C92" t="str">
            <v>615-480-2</v>
          </cell>
          <cell r="D92" t="str">
            <v>A320N</v>
          </cell>
          <cell r="E92" t="str">
            <v>Head Stock Braket</v>
          </cell>
          <cell r="F92">
            <v>12</v>
          </cell>
          <cell r="G92">
            <v>1</v>
          </cell>
          <cell r="H92" t="str">
            <v>PCE</v>
          </cell>
          <cell r="I92">
            <v>22489</v>
          </cell>
          <cell r="J92">
            <v>22417</v>
          </cell>
        </row>
        <row r="93">
          <cell r="C93" t="str">
            <v>0615-481</v>
          </cell>
          <cell r="D93" t="str">
            <v>A320N</v>
          </cell>
          <cell r="E93" t="str">
            <v>Chucking Lever</v>
          </cell>
          <cell r="F93">
            <v>3</v>
          </cell>
          <cell r="G93">
            <v>1</v>
          </cell>
          <cell r="H93" t="str">
            <v>PCE</v>
          </cell>
          <cell r="I93">
            <v>1405</v>
          </cell>
          <cell r="J93">
            <v>1387</v>
          </cell>
        </row>
        <row r="94">
          <cell r="C94" t="str">
            <v>0615-512-1</v>
          </cell>
          <cell r="D94" t="str">
            <v>A320N</v>
          </cell>
          <cell r="E94" t="str">
            <v>Bracket</v>
          </cell>
          <cell r="F94">
            <v>14</v>
          </cell>
          <cell r="G94">
            <v>1</v>
          </cell>
          <cell r="H94" t="str">
            <v>PCE</v>
          </cell>
          <cell r="I94">
            <v>4516</v>
          </cell>
          <cell r="J94">
            <v>4432</v>
          </cell>
        </row>
        <row r="95">
          <cell r="C95" t="str">
            <v>0616-396-2</v>
          </cell>
          <cell r="D95" t="str">
            <v>A320N</v>
          </cell>
          <cell r="E95" t="str">
            <v>Bracket</v>
          </cell>
          <cell r="F95">
            <v>14</v>
          </cell>
          <cell r="G95">
            <v>1</v>
          </cell>
          <cell r="H95" t="str">
            <v>PCE</v>
          </cell>
          <cell r="I95">
            <v>4516</v>
          </cell>
          <cell r="J95">
            <v>4432</v>
          </cell>
        </row>
        <row r="96">
          <cell r="C96" t="str">
            <v>0613-242</v>
          </cell>
          <cell r="D96" t="str">
            <v>A320N</v>
          </cell>
          <cell r="E96" t="str">
            <v>Block</v>
          </cell>
          <cell r="F96">
            <v>2</v>
          </cell>
          <cell r="G96">
            <v>1</v>
          </cell>
          <cell r="H96" t="str">
            <v>PCE</v>
          </cell>
          <cell r="I96">
            <v>891</v>
          </cell>
          <cell r="J96">
            <v>891</v>
          </cell>
        </row>
        <row r="97">
          <cell r="C97" t="str">
            <v>0613-247</v>
          </cell>
          <cell r="D97" t="str">
            <v>A320N</v>
          </cell>
          <cell r="E97" t="str">
            <v>Seal holder</v>
          </cell>
          <cell r="F97">
            <v>7</v>
          </cell>
          <cell r="G97">
            <v>1</v>
          </cell>
          <cell r="H97" t="str">
            <v>PCE</v>
          </cell>
          <cell r="I97">
            <v>2435</v>
          </cell>
          <cell r="J97">
            <v>2435</v>
          </cell>
        </row>
        <row r="98">
          <cell r="C98" t="str">
            <v>0615-495</v>
          </cell>
          <cell r="D98" t="str">
            <v>A320N</v>
          </cell>
          <cell r="E98" t="str">
            <v>Back 4-Shafts Holder</v>
          </cell>
          <cell r="F98">
            <v>24</v>
          </cell>
          <cell r="G98">
            <v>1</v>
          </cell>
          <cell r="H98" t="str">
            <v>PCE</v>
          </cell>
          <cell r="I98">
            <v>7355</v>
          </cell>
          <cell r="J98">
            <v>7211</v>
          </cell>
        </row>
        <row r="99">
          <cell r="C99" t="str">
            <v>0616-301-1</v>
          </cell>
          <cell r="D99" t="str">
            <v>A320N</v>
          </cell>
          <cell r="E99" t="str">
            <v>Sleeve Holder</v>
          </cell>
          <cell r="F99">
            <v>13</v>
          </cell>
          <cell r="G99">
            <v>1</v>
          </cell>
          <cell r="H99" t="str">
            <v>PCE</v>
          </cell>
          <cell r="I99">
            <v>4924</v>
          </cell>
          <cell r="J99">
            <v>4846</v>
          </cell>
        </row>
        <row r="100">
          <cell r="C100" t="str">
            <v>0615-1036</v>
          </cell>
          <cell r="D100" t="str">
            <v>A320N</v>
          </cell>
          <cell r="E100" t="str">
            <v>Back 4 Sleeve holder</v>
          </cell>
          <cell r="F100">
            <v>25</v>
          </cell>
          <cell r="G100">
            <v>1</v>
          </cell>
          <cell r="H100" t="str">
            <v>PCE</v>
          </cell>
          <cell r="I100">
            <v>8586</v>
          </cell>
          <cell r="J100">
            <v>8436</v>
          </cell>
        </row>
        <row r="101">
          <cell r="C101" t="str">
            <v>0615-1034-1</v>
          </cell>
          <cell r="D101" t="str">
            <v>A320N</v>
          </cell>
          <cell r="E101" t="str">
            <v>HEAD STOCK BRACKET</v>
          </cell>
          <cell r="F101">
            <v>13</v>
          </cell>
          <cell r="G101">
            <v>1</v>
          </cell>
          <cell r="H101" t="str">
            <v>PCE</v>
          </cell>
          <cell r="I101">
            <v>4382</v>
          </cell>
          <cell r="J101">
            <v>4304</v>
          </cell>
        </row>
        <row r="102">
          <cell r="C102" t="str">
            <v>0616-416-1</v>
          </cell>
          <cell r="D102" t="str">
            <v>L32</v>
          </cell>
          <cell r="E102" t="str">
            <v>Head Stock</v>
          </cell>
          <cell r="F102">
            <v>63</v>
          </cell>
          <cell r="G102">
            <v>1</v>
          </cell>
          <cell r="H102" t="str">
            <v>PCE</v>
          </cell>
          <cell r="I102">
            <v>20902</v>
          </cell>
          <cell r="J102">
            <v>20524</v>
          </cell>
        </row>
        <row r="103">
          <cell r="C103" t="str">
            <v>616-416-5R</v>
          </cell>
          <cell r="D103" t="str">
            <v>L32</v>
          </cell>
          <cell r="E103" t="str">
            <v>Head Stock</v>
          </cell>
          <cell r="F103">
            <v>63</v>
          </cell>
          <cell r="G103">
            <v>1</v>
          </cell>
          <cell r="H103" t="str">
            <v>PCE</v>
          </cell>
          <cell r="I103">
            <v>36002</v>
          </cell>
          <cell r="J103">
            <v>35624</v>
          </cell>
        </row>
        <row r="104">
          <cell r="C104" t="str">
            <v>0615-521-1</v>
          </cell>
          <cell r="D104" t="str">
            <v>L32</v>
          </cell>
          <cell r="E104" t="str">
            <v>Headstock Bracket</v>
          </cell>
          <cell r="F104">
            <v>14</v>
          </cell>
          <cell r="G104">
            <v>1</v>
          </cell>
          <cell r="H104" t="str">
            <v>PCE</v>
          </cell>
          <cell r="I104">
            <v>4573</v>
          </cell>
          <cell r="J104">
            <v>4489</v>
          </cell>
        </row>
        <row r="105">
          <cell r="C105" t="str">
            <v>0617-130-2</v>
          </cell>
          <cell r="D105" t="str">
            <v>L32</v>
          </cell>
          <cell r="E105" t="str">
            <v>Tool post</v>
          </cell>
          <cell r="F105">
            <v>166</v>
          </cell>
          <cell r="G105">
            <v>1</v>
          </cell>
          <cell r="H105" t="str">
            <v>PCE</v>
          </cell>
          <cell r="I105">
            <v>50940</v>
          </cell>
          <cell r="J105">
            <v>49944</v>
          </cell>
        </row>
        <row r="106">
          <cell r="C106" t="str">
            <v>617-130-4A</v>
          </cell>
          <cell r="D106" t="str">
            <v>L32</v>
          </cell>
          <cell r="E106" t="str">
            <v>Tool post</v>
          </cell>
          <cell r="F106">
            <v>166</v>
          </cell>
          <cell r="G106">
            <v>1</v>
          </cell>
          <cell r="H106" t="str">
            <v>PCE</v>
          </cell>
          <cell r="I106">
            <v>99846</v>
          </cell>
          <cell r="J106">
            <v>98850</v>
          </cell>
        </row>
        <row r="107">
          <cell r="C107" t="str">
            <v>0615-516-1</v>
          </cell>
          <cell r="D107" t="str">
            <v>L32</v>
          </cell>
          <cell r="E107" t="str">
            <v>Guide Bush Base</v>
          </cell>
          <cell r="F107">
            <v>16</v>
          </cell>
          <cell r="G107">
            <v>1</v>
          </cell>
          <cell r="H107" t="str">
            <v>PCE</v>
          </cell>
          <cell r="I107">
            <v>5227</v>
          </cell>
          <cell r="J107">
            <v>5227</v>
          </cell>
        </row>
        <row r="108">
          <cell r="C108" t="str">
            <v>615-516-6R</v>
          </cell>
          <cell r="D108" t="str">
            <v>L32</v>
          </cell>
          <cell r="E108" t="str">
            <v>Guide Bush Base</v>
          </cell>
          <cell r="F108">
            <v>16</v>
          </cell>
          <cell r="G108">
            <v>1</v>
          </cell>
          <cell r="H108" t="str">
            <v>PCE</v>
          </cell>
          <cell r="I108">
            <v>14942</v>
          </cell>
          <cell r="J108">
            <v>14942</v>
          </cell>
        </row>
        <row r="109">
          <cell r="C109" t="str">
            <v>0616-419-2</v>
          </cell>
          <cell r="D109" t="str">
            <v>L32</v>
          </cell>
          <cell r="E109" t="str">
            <v>X Slide</v>
          </cell>
          <cell r="F109">
            <v>21</v>
          </cell>
          <cell r="G109">
            <v>1</v>
          </cell>
          <cell r="H109" t="str">
            <v>PCE</v>
          </cell>
          <cell r="I109">
            <v>6366</v>
          </cell>
          <cell r="J109">
            <v>6366</v>
          </cell>
        </row>
        <row r="110">
          <cell r="C110" t="str">
            <v>616-419-5R</v>
          </cell>
          <cell r="D110" t="str">
            <v>L32</v>
          </cell>
          <cell r="E110" t="str">
            <v>X Slide</v>
          </cell>
          <cell r="F110">
            <v>21</v>
          </cell>
          <cell r="G110">
            <v>1</v>
          </cell>
          <cell r="H110" t="str">
            <v>PCE</v>
          </cell>
          <cell r="I110">
            <v>21853</v>
          </cell>
          <cell r="J110">
            <v>21853</v>
          </cell>
        </row>
        <row r="111">
          <cell r="C111" t="str">
            <v>0616-0015-1</v>
          </cell>
          <cell r="D111" t="str">
            <v>L32</v>
          </cell>
          <cell r="E111" t="str">
            <v>Cross slide</v>
          </cell>
          <cell r="F111">
            <v>54</v>
          </cell>
          <cell r="G111">
            <v>1</v>
          </cell>
          <cell r="H111" t="str">
            <v>PCE</v>
          </cell>
          <cell r="I111">
            <v>16397</v>
          </cell>
          <cell r="J111">
            <v>16397</v>
          </cell>
        </row>
        <row r="112">
          <cell r="C112" t="str">
            <v>0616-417</v>
          </cell>
          <cell r="D112" t="str">
            <v>L32</v>
          </cell>
          <cell r="E112" t="str">
            <v>Z2 Slide</v>
          </cell>
          <cell r="F112">
            <v>28</v>
          </cell>
          <cell r="G112">
            <v>1</v>
          </cell>
          <cell r="H112" t="str">
            <v>PCE</v>
          </cell>
          <cell r="I112">
            <v>8488</v>
          </cell>
          <cell r="J112">
            <v>8320</v>
          </cell>
        </row>
        <row r="113">
          <cell r="C113" t="str">
            <v>616-417-8R</v>
          </cell>
          <cell r="D113" t="str">
            <v>L32</v>
          </cell>
          <cell r="E113" t="str">
            <v>Z2 Slide</v>
          </cell>
          <cell r="F113">
            <v>28</v>
          </cell>
          <cell r="G113">
            <v>1</v>
          </cell>
          <cell r="H113" t="str">
            <v>PCE</v>
          </cell>
          <cell r="I113">
            <v>23619</v>
          </cell>
          <cell r="J113">
            <v>23451</v>
          </cell>
        </row>
        <row r="114">
          <cell r="C114" t="str">
            <v>0616-425-2</v>
          </cell>
          <cell r="D114" t="str">
            <v>L32</v>
          </cell>
          <cell r="E114" t="str">
            <v>Y2 Axis Base</v>
          </cell>
          <cell r="F114">
            <v>38</v>
          </cell>
          <cell r="G114">
            <v>1</v>
          </cell>
          <cell r="H114" t="str">
            <v>PCE</v>
          </cell>
          <cell r="I114">
            <v>12737</v>
          </cell>
          <cell r="J114">
            <v>12737</v>
          </cell>
        </row>
        <row r="115">
          <cell r="C115" t="str">
            <v>0616-357-3</v>
          </cell>
          <cell r="D115" t="str">
            <v>L32</v>
          </cell>
          <cell r="E115" t="str">
            <v>Back Head Stock</v>
          </cell>
          <cell r="F115">
            <v>31</v>
          </cell>
          <cell r="G115">
            <v>1</v>
          </cell>
          <cell r="H115" t="str">
            <v>PCE</v>
          </cell>
          <cell r="I115">
            <v>9500</v>
          </cell>
          <cell r="J115">
            <v>9314</v>
          </cell>
        </row>
        <row r="116">
          <cell r="C116" t="str">
            <v>616-415-5A</v>
          </cell>
          <cell r="D116" t="str">
            <v>L32</v>
          </cell>
          <cell r="E116" t="str">
            <v>Back Head Stock</v>
          </cell>
          <cell r="F116">
            <v>31</v>
          </cell>
          <cell r="G116">
            <v>1</v>
          </cell>
          <cell r="H116" t="str">
            <v>PCE</v>
          </cell>
          <cell r="I116">
            <v>25262</v>
          </cell>
          <cell r="J116">
            <v>20887</v>
          </cell>
        </row>
        <row r="117">
          <cell r="C117" t="str">
            <v>0615-425-2</v>
          </cell>
          <cell r="D117" t="str">
            <v>L32</v>
          </cell>
          <cell r="E117" t="str">
            <v>Motor Housing</v>
          </cell>
          <cell r="F117">
            <v>26</v>
          </cell>
          <cell r="G117">
            <v>1</v>
          </cell>
          <cell r="H117" t="str">
            <v>PCE</v>
          </cell>
          <cell r="I117">
            <v>7969</v>
          </cell>
          <cell r="J117">
            <v>7813</v>
          </cell>
        </row>
        <row r="118">
          <cell r="C118" t="str">
            <v>615-425-6R</v>
          </cell>
          <cell r="D118" t="str">
            <v>L32</v>
          </cell>
          <cell r="E118" t="str">
            <v>Motor Housing</v>
          </cell>
          <cell r="F118">
            <v>26</v>
          </cell>
          <cell r="G118">
            <v>1</v>
          </cell>
          <cell r="H118" t="str">
            <v>PCE</v>
          </cell>
          <cell r="I118">
            <v>18001</v>
          </cell>
          <cell r="J118">
            <v>17845</v>
          </cell>
        </row>
        <row r="119">
          <cell r="C119" t="str">
            <v>0617-129-1</v>
          </cell>
          <cell r="D119" t="str">
            <v>L32</v>
          </cell>
          <cell r="E119" t="str">
            <v>Cross slide</v>
          </cell>
          <cell r="F119">
            <v>73</v>
          </cell>
          <cell r="G119">
            <v>1</v>
          </cell>
          <cell r="H119" t="str">
            <v>PCE</v>
          </cell>
          <cell r="I119">
            <v>23547</v>
          </cell>
          <cell r="J119">
            <v>23547</v>
          </cell>
        </row>
        <row r="120">
          <cell r="C120" t="str">
            <v>0616-424-1</v>
          </cell>
          <cell r="D120" t="str">
            <v>L32</v>
          </cell>
          <cell r="E120" t="str">
            <v>Y2 Axis Slide</v>
          </cell>
          <cell r="F120">
            <v>28</v>
          </cell>
          <cell r="G120">
            <v>1</v>
          </cell>
          <cell r="H120" t="str">
            <v>PCE</v>
          </cell>
          <cell r="I120">
            <v>8934</v>
          </cell>
          <cell r="J120">
            <v>8934</v>
          </cell>
        </row>
        <row r="121">
          <cell r="C121" t="str">
            <v>0617-128-2</v>
          </cell>
          <cell r="D121" t="str">
            <v>L32</v>
          </cell>
          <cell r="E121" t="str">
            <v>Bracket</v>
          </cell>
          <cell r="F121">
            <v>21</v>
          </cell>
          <cell r="G121">
            <v>1</v>
          </cell>
          <cell r="H121" t="str">
            <v>PCE</v>
          </cell>
          <cell r="I121">
            <v>6701</v>
          </cell>
          <cell r="J121">
            <v>6701</v>
          </cell>
        </row>
        <row r="122">
          <cell r="C122" t="str">
            <v>0615-423-1</v>
          </cell>
          <cell r="D122" t="str">
            <v>L32</v>
          </cell>
          <cell r="E122" t="str">
            <v>Chucking Lever</v>
          </cell>
          <cell r="F122">
            <v>3</v>
          </cell>
          <cell r="G122">
            <v>1</v>
          </cell>
          <cell r="H122" t="str">
            <v>PCE</v>
          </cell>
          <cell r="I122">
            <v>1405</v>
          </cell>
          <cell r="J122">
            <v>1387</v>
          </cell>
        </row>
        <row r="123">
          <cell r="C123" t="str">
            <v>0615-426-2</v>
          </cell>
          <cell r="D123" t="str">
            <v>L32</v>
          </cell>
          <cell r="E123" t="str">
            <v>Chucking Lever</v>
          </cell>
          <cell r="F123">
            <v>3</v>
          </cell>
          <cell r="G123">
            <v>1</v>
          </cell>
          <cell r="H123" t="str">
            <v>PCE</v>
          </cell>
          <cell r="I123">
            <v>1405</v>
          </cell>
          <cell r="J123">
            <v>1387</v>
          </cell>
        </row>
        <row r="124">
          <cell r="C124" t="str">
            <v>0617-0011-1</v>
          </cell>
          <cell r="D124" t="str">
            <v>L212</v>
          </cell>
          <cell r="E124" t="str">
            <v>Tool Post</v>
          </cell>
          <cell r="F124">
            <v>135</v>
          </cell>
          <cell r="G124">
            <v>1</v>
          </cell>
          <cell r="H124" t="str">
            <v>PCE</v>
          </cell>
          <cell r="I124">
            <v>40994</v>
          </cell>
          <cell r="J124">
            <v>40184</v>
          </cell>
        </row>
        <row r="125">
          <cell r="C125" t="str">
            <v>0616-0019</v>
          </cell>
          <cell r="D125" t="str">
            <v>L212</v>
          </cell>
          <cell r="E125" t="str">
            <v>Cross Slide</v>
          </cell>
          <cell r="F125">
            <v>23</v>
          </cell>
          <cell r="G125">
            <v>1</v>
          </cell>
          <cell r="H125" t="str">
            <v>PCE</v>
          </cell>
          <cell r="I125">
            <v>7048</v>
          </cell>
          <cell r="J125">
            <v>7048</v>
          </cell>
        </row>
        <row r="126">
          <cell r="C126" t="str">
            <v>0616-1001-1</v>
          </cell>
          <cell r="D126" t="str">
            <v>L212</v>
          </cell>
          <cell r="E126" t="str">
            <v>Cross Slide</v>
          </cell>
          <cell r="F126">
            <v>55</v>
          </cell>
          <cell r="G126">
            <v>1</v>
          </cell>
          <cell r="H126" t="str">
            <v>PCE</v>
          </cell>
          <cell r="I126">
            <v>16853</v>
          </cell>
          <cell r="J126">
            <v>16853</v>
          </cell>
        </row>
        <row r="127">
          <cell r="C127" t="str">
            <v>0616-1002</v>
          </cell>
          <cell r="D127" t="str">
            <v>L212</v>
          </cell>
          <cell r="E127" t="str">
            <v>Slide Base</v>
          </cell>
          <cell r="F127">
            <v>37</v>
          </cell>
          <cell r="G127">
            <v>1</v>
          </cell>
          <cell r="H127" t="str">
            <v>PCE</v>
          </cell>
          <cell r="I127">
            <v>12717</v>
          </cell>
          <cell r="J127">
            <v>12717</v>
          </cell>
        </row>
        <row r="128">
          <cell r="C128" t="str">
            <v>0615-1002</v>
          </cell>
          <cell r="D128" t="str">
            <v>L212</v>
          </cell>
          <cell r="E128" t="str">
            <v>Z2 Slide</v>
          </cell>
          <cell r="F128">
            <v>20</v>
          </cell>
          <cell r="G128">
            <v>1</v>
          </cell>
          <cell r="H128" t="str">
            <v>PCE</v>
          </cell>
          <cell r="I128">
            <v>6404</v>
          </cell>
          <cell r="J128">
            <v>6404</v>
          </cell>
        </row>
        <row r="129">
          <cell r="C129" t="str">
            <v>0615-1003-1</v>
          </cell>
          <cell r="D129" t="str">
            <v>L212</v>
          </cell>
          <cell r="E129" t="str">
            <v>Head Stock</v>
          </cell>
          <cell r="F129">
            <v>26</v>
          </cell>
          <cell r="G129">
            <v>1</v>
          </cell>
          <cell r="H129" t="str">
            <v>PCE</v>
          </cell>
          <cell r="I129">
            <v>8382</v>
          </cell>
          <cell r="J129">
            <v>8382</v>
          </cell>
        </row>
        <row r="130">
          <cell r="C130" t="str">
            <v>0617-1006-1</v>
          </cell>
          <cell r="D130" t="str">
            <v>L320</v>
          </cell>
          <cell r="E130" t="str">
            <v>TOOL POST</v>
          </cell>
          <cell r="F130">
            <v>158</v>
          </cell>
          <cell r="G130">
            <v>1</v>
          </cell>
          <cell r="H130" t="str">
            <v>PCE</v>
          </cell>
          <cell r="I130">
            <v>48412</v>
          </cell>
          <cell r="J130">
            <v>47464</v>
          </cell>
        </row>
        <row r="131">
          <cell r="C131" t="str">
            <v>0615-1023</v>
          </cell>
          <cell r="D131" t="str">
            <v>L320</v>
          </cell>
          <cell r="E131" t="str">
            <v>X SLIDE</v>
          </cell>
          <cell r="F131">
            <v>17</v>
          </cell>
          <cell r="G131">
            <v>1</v>
          </cell>
          <cell r="H131" t="str">
            <v>PCE</v>
          </cell>
          <cell r="I131">
            <v>5445</v>
          </cell>
          <cell r="J131">
            <v>5445</v>
          </cell>
        </row>
        <row r="132">
          <cell r="C132" t="str">
            <v>0617-1007-1</v>
          </cell>
          <cell r="D132" t="str">
            <v>L320</v>
          </cell>
          <cell r="E132" t="str">
            <v>CROSS SLIDE</v>
          </cell>
          <cell r="F132">
            <v>41</v>
          </cell>
          <cell r="G132">
            <v>1</v>
          </cell>
          <cell r="H132" t="str">
            <v>PCE</v>
          </cell>
          <cell r="I132">
            <v>13225</v>
          </cell>
          <cell r="J132">
            <v>13225</v>
          </cell>
        </row>
        <row r="133">
          <cell r="C133" t="str">
            <v>0616-1009</v>
          </cell>
          <cell r="D133" t="str">
            <v>L320</v>
          </cell>
          <cell r="E133" t="str">
            <v>Y2 SLIDE BASE</v>
          </cell>
          <cell r="F133">
            <v>37</v>
          </cell>
          <cell r="G133">
            <v>1</v>
          </cell>
          <cell r="H133" t="str">
            <v>PCE</v>
          </cell>
          <cell r="I133">
            <v>12202</v>
          </cell>
          <cell r="J133">
            <v>12202</v>
          </cell>
        </row>
        <row r="134">
          <cell r="C134" t="str">
            <v>0617-1005-1</v>
          </cell>
          <cell r="D134" t="str">
            <v>L320</v>
          </cell>
          <cell r="E134" t="str">
            <v>CROSS SLIDE</v>
          </cell>
          <cell r="F134">
            <v>48</v>
          </cell>
          <cell r="G134">
            <v>1</v>
          </cell>
          <cell r="H134" t="str">
            <v>PCE</v>
          </cell>
          <cell r="I134">
            <v>15040</v>
          </cell>
          <cell r="J134">
            <v>15040</v>
          </cell>
        </row>
        <row r="135">
          <cell r="C135" t="str">
            <v>0615-1022</v>
          </cell>
          <cell r="D135" t="str">
            <v>L320</v>
          </cell>
          <cell r="E135" t="str">
            <v>HEAD STOCK</v>
          </cell>
          <cell r="F135">
            <v>45</v>
          </cell>
          <cell r="G135">
            <v>1</v>
          </cell>
          <cell r="H135" t="str">
            <v>PCE</v>
          </cell>
          <cell r="I135">
            <v>14410</v>
          </cell>
          <cell r="J135">
            <v>14140</v>
          </cell>
        </row>
        <row r="136">
          <cell r="C136" t="str">
            <v>0615-1019-1</v>
          </cell>
          <cell r="D136" t="str">
            <v>L320</v>
          </cell>
          <cell r="E136" t="str">
            <v>HEAD STOCK</v>
          </cell>
          <cell r="F136">
            <v>39</v>
          </cell>
          <cell r="G136">
            <v>1</v>
          </cell>
          <cell r="H136" t="str">
            <v>PCE</v>
          </cell>
          <cell r="I136">
            <v>12488</v>
          </cell>
          <cell r="J136">
            <v>12488</v>
          </cell>
        </row>
        <row r="137">
          <cell r="C137" t="str">
            <v>0615-1017</v>
          </cell>
          <cell r="D137" t="str">
            <v>L320</v>
          </cell>
          <cell r="E137" t="str">
            <v>Z2 SLIDE</v>
          </cell>
          <cell r="F137">
            <v>29</v>
          </cell>
          <cell r="G137">
            <v>1</v>
          </cell>
          <cell r="H137" t="str">
            <v>PCE</v>
          </cell>
          <cell r="I137">
            <v>9087</v>
          </cell>
          <cell r="J137">
            <v>9087</v>
          </cell>
        </row>
        <row r="138">
          <cell r="C138" t="str">
            <v>0615-1018-1</v>
          </cell>
          <cell r="D138" t="str">
            <v>L320</v>
          </cell>
          <cell r="E138" t="str">
            <v>Z2 SLIDE</v>
          </cell>
          <cell r="F138">
            <v>21</v>
          </cell>
          <cell r="G138">
            <v>1</v>
          </cell>
          <cell r="H138" t="str">
            <v>PCE</v>
          </cell>
          <cell r="I138">
            <v>6580</v>
          </cell>
          <cell r="J138">
            <v>6580</v>
          </cell>
        </row>
        <row r="139">
          <cell r="C139" t="str">
            <v>0615-1020</v>
          </cell>
          <cell r="D139" t="str">
            <v>L320</v>
          </cell>
          <cell r="E139" t="str">
            <v>BACK HEAD STOCK</v>
          </cell>
          <cell r="F139">
            <v>36</v>
          </cell>
          <cell r="G139">
            <v>1</v>
          </cell>
          <cell r="H139" t="str">
            <v>PCE</v>
          </cell>
          <cell r="I139">
            <v>11686</v>
          </cell>
          <cell r="J139">
            <v>11470</v>
          </cell>
        </row>
        <row r="140">
          <cell r="C140" t="str">
            <v>0615-409-2</v>
          </cell>
          <cell r="D140" t="str">
            <v>L320</v>
          </cell>
          <cell r="E140" t="str">
            <v>Chucking Lever</v>
          </cell>
          <cell r="F140">
            <v>2</v>
          </cell>
          <cell r="G140">
            <v>1</v>
          </cell>
          <cell r="H140" t="str">
            <v>PCE</v>
          </cell>
          <cell r="I140">
            <v>890</v>
          </cell>
          <cell r="J140">
            <v>878</v>
          </cell>
        </row>
        <row r="141">
          <cell r="C141" t="str">
            <v>0613-1004</v>
          </cell>
          <cell r="D141" t="str">
            <v>L320</v>
          </cell>
          <cell r="E141" t="str">
            <v>BRACKET</v>
          </cell>
          <cell r="F141">
            <v>2.5</v>
          </cell>
          <cell r="G141">
            <v>1</v>
          </cell>
          <cell r="H141" t="str">
            <v>PCE</v>
          </cell>
          <cell r="I141">
            <v>853</v>
          </cell>
          <cell r="J141">
            <v>853</v>
          </cell>
        </row>
        <row r="142">
          <cell r="C142" t="str">
            <v>0614-1008</v>
          </cell>
          <cell r="D142" t="str">
            <v>L320</v>
          </cell>
          <cell r="E142" t="str">
            <v>BLOCK</v>
          </cell>
          <cell r="F142">
            <v>2.5</v>
          </cell>
          <cell r="G142">
            <v>1</v>
          </cell>
          <cell r="H142" t="str">
            <v>PCE</v>
          </cell>
          <cell r="I142">
            <v>853</v>
          </cell>
          <cell r="J142">
            <v>853</v>
          </cell>
        </row>
        <row r="143">
          <cell r="C143" t="str">
            <v>0615-1021-1</v>
          </cell>
          <cell r="D143" t="str">
            <v>L320</v>
          </cell>
          <cell r="E143" t="str">
            <v>BACK HEAD STOCK BRACKET</v>
          </cell>
          <cell r="F143">
            <v>9</v>
          </cell>
          <cell r="G143">
            <v>1</v>
          </cell>
          <cell r="H143" t="str">
            <v>PCE</v>
          </cell>
          <cell r="I143">
            <v>3231</v>
          </cell>
          <cell r="J143">
            <v>3177</v>
          </cell>
        </row>
        <row r="144">
          <cell r="C144" t="str">
            <v>0616-1008-1</v>
          </cell>
          <cell r="D144" t="str">
            <v>L320</v>
          </cell>
          <cell r="E144" t="str">
            <v>BRACKET</v>
          </cell>
          <cell r="F144">
            <v>14</v>
          </cell>
          <cell r="G144">
            <v>1</v>
          </cell>
          <cell r="H144" t="str">
            <v>PCE</v>
          </cell>
          <cell r="I144">
            <v>4775</v>
          </cell>
          <cell r="J144">
            <v>4691</v>
          </cell>
        </row>
        <row r="145">
          <cell r="C145" t="str">
            <v>0615-1085-00</v>
          </cell>
          <cell r="D145" t="str">
            <v>A420</v>
          </cell>
          <cell r="E145" t="str">
            <v>HEADSTOCK</v>
          </cell>
          <cell r="F145">
            <v>43</v>
          </cell>
          <cell r="G145">
            <v>1</v>
          </cell>
          <cell r="H145" t="str">
            <v>PCE</v>
          </cell>
          <cell r="I145">
            <v>13927</v>
          </cell>
          <cell r="J145">
            <v>13927</v>
          </cell>
        </row>
        <row r="146">
          <cell r="C146" t="str">
            <v>615-1085-00A</v>
          </cell>
          <cell r="D146" t="str">
            <v>A420</v>
          </cell>
          <cell r="E146" t="str">
            <v>HEADSTOCK</v>
          </cell>
          <cell r="F146">
            <v>43</v>
          </cell>
          <cell r="G146">
            <v>1</v>
          </cell>
          <cell r="H146" t="str">
            <v>PCE</v>
          </cell>
          <cell r="I146">
            <v>30429</v>
          </cell>
          <cell r="J146">
            <v>30429</v>
          </cell>
        </row>
        <row r="147">
          <cell r="C147" t="str">
            <v>0615-1086-00</v>
          </cell>
          <cell r="D147" t="str">
            <v>A420</v>
          </cell>
          <cell r="E147" t="str">
            <v>BACK HEADSTOCK</v>
          </cell>
          <cell r="F147">
            <v>38</v>
          </cell>
          <cell r="G147">
            <v>1</v>
          </cell>
          <cell r="H147" t="str">
            <v>PCE</v>
          </cell>
          <cell r="I147">
            <v>12166</v>
          </cell>
          <cell r="J147">
            <v>12166</v>
          </cell>
        </row>
        <row r="148">
          <cell r="C148" t="str">
            <v>615-1086-01A</v>
          </cell>
          <cell r="D148" t="str">
            <v>A420</v>
          </cell>
          <cell r="E148" t="str">
            <v>BACK HEADSTOCK</v>
          </cell>
          <cell r="F148">
            <v>38</v>
          </cell>
          <cell r="G148">
            <v>1</v>
          </cell>
          <cell r="H148" t="str">
            <v>PCE</v>
          </cell>
          <cell r="I148">
            <v>26286</v>
          </cell>
          <cell r="J148">
            <v>26286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N"/>
      <sheetName val="CMJ-Non"/>
      <sheetName val="USE (2)"/>
      <sheetName val="USE"/>
      <sheetName val="CMJ"/>
      <sheetName val="CMP"/>
      <sheetName val="CMV"/>
      <sheetName val="999999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grp_desc</v>
          </cell>
          <cell r="B1" t="str">
            <v>grp_no</v>
          </cell>
          <cell r="C1" t="str">
            <v>upm</v>
          </cell>
          <cell r="D1" t="str">
            <v>UOM</v>
          </cell>
        </row>
        <row r="2">
          <cell r="A2" t="str">
            <v>BODY</v>
          </cell>
          <cell r="B2" t="str">
            <v>000001</v>
          </cell>
          <cell r="C2" t="str">
            <v>PCS</v>
          </cell>
          <cell r="D2" t="str">
            <v>C62</v>
          </cell>
        </row>
        <row r="3">
          <cell r="A3" t="str">
            <v>CROSS SLIDE</v>
          </cell>
          <cell r="B3" t="str">
            <v>000002</v>
          </cell>
          <cell r="C3" t="str">
            <v>PCS</v>
          </cell>
          <cell r="D3" t="str">
            <v>C62</v>
          </cell>
        </row>
        <row r="4">
          <cell r="A4" t="str">
            <v>MOTOR BRACKET</v>
          </cell>
          <cell r="B4" t="str">
            <v>000003</v>
          </cell>
          <cell r="C4" t="str">
            <v>PCS</v>
          </cell>
          <cell r="D4" t="str">
            <v>C62</v>
          </cell>
        </row>
        <row r="5">
          <cell r="A5" t="str">
            <v>X-SLIDE</v>
          </cell>
          <cell r="B5" t="str">
            <v>000004</v>
          </cell>
          <cell r="C5" t="str">
            <v>PCS</v>
          </cell>
          <cell r="D5" t="str">
            <v>C62</v>
          </cell>
        </row>
        <row r="6">
          <cell r="A6" t="str">
            <v>BASE PLATE</v>
          </cell>
          <cell r="B6" t="str">
            <v>000005</v>
          </cell>
          <cell r="C6" t="str">
            <v>PCS</v>
          </cell>
          <cell r="D6" t="str">
            <v>C62</v>
          </cell>
        </row>
        <row r="7">
          <cell r="A7" t="str">
            <v>BRACKET</v>
          </cell>
          <cell r="B7" t="str">
            <v>000006</v>
          </cell>
          <cell r="C7" t="str">
            <v>PCS</v>
          </cell>
          <cell r="D7" t="str">
            <v>C62</v>
          </cell>
        </row>
        <row r="8">
          <cell r="A8" t="str">
            <v>FIXING BRACKET</v>
          </cell>
          <cell r="B8" t="str">
            <v>000007</v>
          </cell>
          <cell r="C8" t="str">
            <v>PCS</v>
          </cell>
          <cell r="D8" t="str">
            <v>C62</v>
          </cell>
        </row>
        <row r="9">
          <cell r="A9" t="str">
            <v>SLIDE BASE</v>
          </cell>
          <cell r="B9" t="str">
            <v>000008</v>
          </cell>
          <cell r="C9" t="str">
            <v>PCS</v>
          </cell>
          <cell r="D9" t="str">
            <v>C62</v>
          </cell>
        </row>
        <row r="10">
          <cell r="A10" t="str">
            <v>OPERATION MANUAL</v>
          </cell>
          <cell r="B10" t="str">
            <v>000009</v>
          </cell>
          <cell r="C10" t="str">
            <v>SET</v>
          </cell>
          <cell r="D10" t="str">
            <v>SET</v>
          </cell>
        </row>
        <row r="11">
          <cell r="A11" t="str">
            <v>BALL SCREW</v>
          </cell>
          <cell r="B11" t="str">
            <v>000010</v>
          </cell>
          <cell r="C11" t="str">
            <v>PCS</v>
          </cell>
          <cell r="D11" t="str">
            <v>C62</v>
          </cell>
        </row>
        <row r="12">
          <cell r="A12" t="str">
            <v>BALL SCREW SUPPORT</v>
          </cell>
          <cell r="B12" t="str">
            <v>000011</v>
          </cell>
          <cell r="C12" t="str">
            <v>PCS</v>
          </cell>
          <cell r="D12" t="str">
            <v>C62</v>
          </cell>
        </row>
        <row r="13">
          <cell r="A13" t="str">
            <v>BEARING</v>
          </cell>
          <cell r="B13" t="str">
            <v>000012</v>
          </cell>
          <cell r="C13" t="str">
            <v>PCS</v>
          </cell>
          <cell r="D13" t="str">
            <v>C62</v>
          </cell>
        </row>
        <row r="14">
          <cell r="A14" t="str">
            <v>BLOCK</v>
          </cell>
          <cell r="B14" t="str">
            <v>000013</v>
          </cell>
          <cell r="C14" t="str">
            <v>PCS</v>
          </cell>
          <cell r="D14" t="str">
            <v>C62</v>
          </cell>
        </row>
        <row r="15">
          <cell r="A15" t="str">
            <v>BOLT</v>
          </cell>
          <cell r="B15" t="str">
            <v>000014</v>
          </cell>
          <cell r="C15" t="str">
            <v>PCS</v>
          </cell>
          <cell r="D15" t="str">
            <v>C62</v>
          </cell>
        </row>
        <row r="16">
          <cell r="A16" t="str">
            <v>CAP</v>
          </cell>
          <cell r="B16" t="str">
            <v>000015</v>
          </cell>
          <cell r="C16" t="str">
            <v>PCS</v>
          </cell>
          <cell r="D16" t="str">
            <v>C62</v>
          </cell>
        </row>
        <row r="17">
          <cell r="A17" t="str">
            <v>CASE LEGS</v>
          </cell>
          <cell r="B17" t="str">
            <v>000016</v>
          </cell>
          <cell r="C17" t="str">
            <v>PCS</v>
          </cell>
          <cell r="D17" t="str">
            <v>C62</v>
          </cell>
        </row>
        <row r="18">
          <cell r="A18" t="str">
            <v>CASTER</v>
          </cell>
          <cell r="B18" t="str">
            <v>000017</v>
          </cell>
          <cell r="C18" t="str">
            <v>PCS</v>
          </cell>
          <cell r="D18" t="str">
            <v>C62</v>
          </cell>
        </row>
        <row r="19">
          <cell r="A19" t="str">
            <v>CAUTION LABEL</v>
          </cell>
          <cell r="B19" t="str">
            <v>000018</v>
          </cell>
          <cell r="C19" t="str">
            <v>SET</v>
          </cell>
          <cell r="D19" t="str">
            <v>SET</v>
          </cell>
        </row>
        <row r="20">
          <cell r="A20" t="str">
            <v>CHUCK SLEEVE FOR NON-CONFORMED MATERIAL</v>
          </cell>
          <cell r="B20" t="str">
            <v>000019</v>
          </cell>
          <cell r="C20" t="str">
            <v>PCS</v>
          </cell>
          <cell r="D20" t="str">
            <v>C62</v>
          </cell>
        </row>
        <row r="21">
          <cell r="A21" t="str">
            <v>CHUCK SLEEVE FOR SQUARE MATERIAL</v>
          </cell>
          <cell r="B21" t="str">
            <v>000020</v>
          </cell>
          <cell r="C21" t="str">
            <v>PCS</v>
          </cell>
          <cell r="D21" t="str">
            <v>C62</v>
          </cell>
        </row>
        <row r="22">
          <cell r="A22" t="str">
            <v>COLLET CHUCK</v>
          </cell>
          <cell r="B22" t="str">
            <v>000021</v>
          </cell>
          <cell r="C22" t="str">
            <v>PCS</v>
          </cell>
          <cell r="D22" t="str">
            <v>C62</v>
          </cell>
        </row>
        <row r="23">
          <cell r="A23" t="str">
            <v>CONNECTOR</v>
          </cell>
          <cell r="B23" t="str">
            <v>000022</v>
          </cell>
          <cell r="C23" t="str">
            <v>PCS</v>
          </cell>
          <cell r="D23" t="str">
            <v>C62</v>
          </cell>
        </row>
        <row r="24">
          <cell r="A24" t="str">
            <v>COOLANT FLOW RATE DETECTOR DEVICE</v>
          </cell>
          <cell r="B24" t="str">
            <v>000023</v>
          </cell>
          <cell r="C24" t="str">
            <v>PCS</v>
          </cell>
          <cell r="D24" t="str">
            <v>C62</v>
          </cell>
        </row>
        <row r="25">
          <cell r="A25" t="str">
            <v>COUPLING</v>
          </cell>
          <cell r="B25" t="str">
            <v>000024</v>
          </cell>
          <cell r="C25" t="str">
            <v>PCS</v>
          </cell>
          <cell r="D25" t="str">
            <v>C62</v>
          </cell>
        </row>
        <row r="26">
          <cell r="A26" t="str">
            <v>COVER</v>
          </cell>
          <cell r="B26" t="str">
            <v>000025</v>
          </cell>
          <cell r="C26" t="str">
            <v>PCS</v>
          </cell>
          <cell r="D26" t="str">
            <v>C62</v>
          </cell>
        </row>
        <row r="27">
          <cell r="A27" t="str">
            <v>CUT-OFF TOOL BREAKAGE DETECTION DEVICE</v>
          </cell>
          <cell r="B27" t="str">
            <v>000026</v>
          </cell>
          <cell r="C27" t="str">
            <v>SET</v>
          </cell>
          <cell r="D27" t="str">
            <v>SET</v>
          </cell>
        </row>
        <row r="28">
          <cell r="A28" t="str">
            <v>DOOR LOCK</v>
          </cell>
          <cell r="B28" t="str">
            <v>000027</v>
          </cell>
          <cell r="C28" t="str">
            <v>PCS</v>
          </cell>
          <cell r="D28" t="str">
            <v>C62</v>
          </cell>
        </row>
        <row r="29">
          <cell r="A29" t="str">
            <v>DRILL SLEEVE</v>
          </cell>
          <cell r="B29" t="str">
            <v>000028</v>
          </cell>
          <cell r="C29" t="str">
            <v>SET</v>
          </cell>
          <cell r="D29" t="str">
            <v>SET</v>
          </cell>
        </row>
        <row r="30">
          <cell r="A30" t="str">
            <v>ELBOW</v>
          </cell>
          <cell r="B30" t="str">
            <v>000029</v>
          </cell>
          <cell r="C30" t="str">
            <v>PCS</v>
          </cell>
          <cell r="D30" t="str">
            <v>C62</v>
          </cell>
        </row>
        <row r="31">
          <cell r="A31" t="str">
            <v>ELECTRIC BOX</v>
          </cell>
          <cell r="B31" t="str">
            <v>000030</v>
          </cell>
          <cell r="C31" t="str">
            <v>PCS</v>
          </cell>
          <cell r="D31" t="str">
            <v>C62</v>
          </cell>
        </row>
        <row r="32">
          <cell r="A32" t="str">
            <v>FIXED GUIDE BUSHING DEVICE</v>
          </cell>
          <cell r="B32" t="str">
            <v>000031</v>
          </cell>
          <cell r="C32" t="str">
            <v>SET</v>
          </cell>
          <cell r="D32" t="str">
            <v>SET</v>
          </cell>
        </row>
        <row r="33">
          <cell r="A33" t="str">
            <v>FLANGE</v>
          </cell>
          <cell r="B33" t="str">
            <v>000032</v>
          </cell>
          <cell r="C33" t="str">
            <v>PCS</v>
          </cell>
          <cell r="D33" t="str">
            <v>C62</v>
          </cell>
        </row>
        <row r="34">
          <cell r="A34" t="str">
            <v>FLOAT SWITCH</v>
          </cell>
          <cell r="B34" t="str">
            <v>000033</v>
          </cell>
          <cell r="C34" t="str">
            <v>PCS</v>
          </cell>
          <cell r="D34" t="str">
            <v>C62</v>
          </cell>
        </row>
        <row r="35">
          <cell r="A35" t="str">
            <v>FLOW PROPER UNIT</v>
          </cell>
          <cell r="B35" t="str">
            <v>000034</v>
          </cell>
          <cell r="C35" t="str">
            <v>PCS</v>
          </cell>
          <cell r="D35" t="str">
            <v>C62</v>
          </cell>
        </row>
        <row r="36">
          <cell r="A36" t="str">
            <v>GAS SPRING</v>
          </cell>
          <cell r="B36" t="str">
            <v>000035</v>
          </cell>
          <cell r="C36" t="str">
            <v>PCS</v>
          </cell>
          <cell r="D36" t="str">
            <v>C62</v>
          </cell>
        </row>
        <row r="37">
          <cell r="A37" t="str">
            <v>GASKET</v>
          </cell>
          <cell r="B37" t="str">
            <v>000036</v>
          </cell>
          <cell r="C37" t="str">
            <v>PCS</v>
          </cell>
          <cell r="D37" t="str">
            <v>C62</v>
          </cell>
        </row>
        <row r="38">
          <cell r="A38" t="str">
            <v>GREASE NIPPLES</v>
          </cell>
          <cell r="B38" t="str">
            <v>000037</v>
          </cell>
          <cell r="C38" t="str">
            <v>PCS</v>
          </cell>
          <cell r="D38" t="str">
            <v>C62</v>
          </cell>
        </row>
        <row r="39">
          <cell r="A39" t="str">
            <v>GROMMET</v>
          </cell>
          <cell r="B39" t="str">
            <v>000038</v>
          </cell>
          <cell r="C39" t="str">
            <v>PCS</v>
          </cell>
          <cell r="D39" t="str">
            <v>C62</v>
          </cell>
        </row>
        <row r="40">
          <cell r="A40" t="str">
            <v>GUIDE BAR</v>
          </cell>
          <cell r="B40" t="str">
            <v>000039</v>
          </cell>
          <cell r="C40" t="str">
            <v>PCS</v>
          </cell>
          <cell r="D40" t="str">
            <v>C62</v>
          </cell>
        </row>
        <row r="41">
          <cell r="A41" t="str">
            <v>GUIDE BAR MOUNTING PLATE</v>
          </cell>
          <cell r="B41" t="str">
            <v>000040</v>
          </cell>
          <cell r="C41" t="str">
            <v>PCS</v>
          </cell>
          <cell r="D41" t="str">
            <v>C62</v>
          </cell>
        </row>
        <row r="42">
          <cell r="A42" t="str">
            <v>GUIDE BUSH</v>
          </cell>
          <cell r="B42" t="str">
            <v>000041</v>
          </cell>
          <cell r="C42" t="str">
            <v>PCS</v>
          </cell>
          <cell r="D42" t="str">
            <v>C62</v>
          </cell>
        </row>
        <row r="43">
          <cell r="A43" t="str">
            <v>HANDLING TOOL</v>
          </cell>
          <cell r="B43" t="str">
            <v>000042</v>
          </cell>
          <cell r="C43" t="str">
            <v>SET</v>
          </cell>
          <cell r="D43" t="str">
            <v>SET</v>
          </cell>
        </row>
        <row r="44">
          <cell r="A44" t="str">
            <v>HOSE</v>
          </cell>
          <cell r="B44" t="str">
            <v>000043</v>
          </cell>
          <cell r="C44" t="str">
            <v>PCS</v>
          </cell>
          <cell r="D44" t="str">
            <v>C62</v>
          </cell>
        </row>
        <row r="45">
          <cell r="A45" t="str">
            <v>JUNCTION</v>
          </cell>
          <cell r="B45" t="str">
            <v>000044</v>
          </cell>
          <cell r="C45" t="str">
            <v>PCS</v>
          </cell>
          <cell r="D45" t="str">
            <v>C62</v>
          </cell>
        </row>
        <row r="46">
          <cell r="A46" t="str">
            <v>JUNCTION HEAD</v>
          </cell>
          <cell r="B46" t="str">
            <v>000045</v>
          </cell>
          <cell r="C46" t="str">
            <v>PCS</v>
          </cell>
          <cell r="D46" t="str">
            <v>C62</v>
          </cell>
        </row>
        <row r="47">
          <cell r="A47" t="str">
            <v>KNOB</v>
          </cell>
          <cell r="B47" t="str">
            <v>000046</v>
          </cell>
          <cell r="C47" t="str">
            <v>PCS</v>
          </cell>
          <cell r="D47" t="str">
            <v>C62</v>
          </cell>
        </row>
        <row r="48">
          <cell r="A48" t="str">
            <v>LM GUIDE</v>
          </cell>
          <cell r="B48" t="str">
            <v>000047</v>
          </cell>
          <cell r="C48" t="str">
            <v>SET</v>
          </cell>
          <cell r="D48" t="str">
            <v>SET</v>
          </cell>
        </row>
        <row r="49">
          <cell r="A49" t="str">
            <v>MAIN SPINDLE</v>
          </cell>
          <cell r="B49" t="str">
            <v>000048</v>
          </cell>
          <cell r="C49" t="str">
            <v>SET</v>
          </cell>
          <cell r="D49" t="str">
            <v>SET</v>
          </cell>
        </row>
        <row r="50">
          <cell r="A50" t="str">
            <v>MAIN SPINDLE CHUCK DEVICE</v>
          </cell>
          <cell r="B50" t="str">
            <v>000049</v>
          </cell>
          <cell r="C50" t="str">
            <v>PCS</v>
          </cell>
          <cell r="D50" t="str">
            <v>C62</v>
          </cell>
        </row>
        <row r="51">
          <cell r="A51" t="str">
            <v>NAME PLATE</v>
          </cell>
          <cell r="B51" t="str">
            <v>000050</v>
          </cell>
          <cell r="C51" t="str">
            <v>PCS</v>
          </cell>
          <cell r="D51" t="str">
            <v>C62</v>
          </cell>
        </row>
        <row r="52">
          <cell r="A52" t="str">
            <v>NOZZLE</v>
          </cell>
          <cell r="B52" t="str">
            <v>000051</v>
          </cell>
          <cell r="C52" t="str">
            <v>PCS</v>
          </cell>
          <cell r="D52" t="str">
            <v>C62</v>
          </cell>
        </row>
        <row r="53">
          <cell r="A53" t="str">
            <v>NUT</v>
          </cell>
          <cell r="B53" t="str">
            <v>000053</v>
          </cell>
          <cell r="C53" t="str">
            <v>PCS</v>
          </cell>
          <cell r="D53" t="str">
            <v>C62</v>
          </cell>
        </row>
        <row r="54">
          <cell r="A54" t="str">
            <v>OIL GAUGE</v>
          </cell>
          <cell r="B54" t="str">
            <v>000054</v>
          </cell>
          <cell r="C54" t="str">
            <v>PCS</v>
          </cell>
          <cell r="D54" t="str">
            <v>C62</v>
          </cell>
        </row>
        <row r="55">
          <cell r="A55" t="str">
            <v>O-RING</v>
          </cell>
          <cell r="B55" t="str">
            <v>000055</v>
          </cell>
          <cell r="C55" t="str">
            <v>PCS</v>
          </cell>
          <cell r="D55" t="str">
            <v>C62</v>
          </cell>
        </row>
        <row r="56">
          <cell r="A56" t="str">
            <v>PATROL LIGHT</v>
          </cell>
          <cell r="B56" t="str">
            <v>000056</v>
          </cell>
          <cell r="C56" t="str">
            <v>SET</v>
          </cell>
          <cell r="D56" t="str">
            <v>SET</v>
          </cell>
        </row>
        <row r="57">
          <cell r="A57" t="str">
            <v>PIPE</v>
          </cell>
          <cell r="B57" t="str">
            <v>000057</v>
          </cell>
          <cell r="C57" t="str">
            <v>PCS</v>
          </cell>
          <cell r="D57" t="str">
            <v>C62</v>
          </cell>
        </row>
        <row r="58">
          <cell r="A58" t="str">
            <v>PLUG</v>
          </cell>
          <cell r="B58" t="str">
            <v>000058</v>
          </cell>
          <cell r="C58" t="str">
            <v>PCS</v>
          </cell>
          <cell r="D58" t="str">
            <v>C62</v>
          </cell>
        </row>
        <row r="59">
          <cell r="A59" t="str">
            <v>PUMP</v>
          </cell>
          <cell r="B59" t="str">
            <v>000059</v>
          </cell>
          <cell r="C59" t="str">
            <v>PCS</v>
          </cell>
          <cell r="D59" t="str">
            <v>C62</v>
          </cell>
        </row>
        <row r="60">
          <cell r="A60" t="str">
            <v>PROPER NUT</v>
          </cell>
          <cell r="B60" t="str">
            <v>000060</v>
          </cell>
          <cell r="C60" t="str">
            <v>PCS</v>
          </cell>
          <cell r="D60" t="str">
            <v>C62</v>
          </cell>
        </row>
        <row r="61">
          <cell r="A61" t="str">
            <v>REGO CHUCK</v>
          </cell>
          <cell r="B61" t="str">
            <v>000061</v>
          </cell>
          <cell r="C61" t="str">
            <v>PCS</v>
          </cell>
          <cell r="D61" t="str">
            <v>C62</v>
          </cell>
        </row>
        <row r="62">
          <cell r="A62" t="str">
            <v>RELOCATION DETECTOR</v>
          </cell>
          <cell r="B62" t="str">
            <v>000062</v>
          </cell>
          <cell r="C62" t="str">
            <v>SET</v>
          </cell>
          <cell r="D62" t="str">
            <v>SET</v>
          </cell>
        </row>
        <row r="63">
          <cell r="A63" t="str">
            <v>ROTARY GUIDE BUSH DEVICE</v>
          </cell>
          <cell r="B63" t="str">
            <v>000063</v>
          </cell>
          <cell r="C63" t="str">
            <v>SET</v>
          </cell>
          <cell r="D63" t="str">
            <v>SET</v>
          </cell>
        </row>
        <row r="64">
          <cell r="A64" t="str">
            <v>SCREW</v>
          </cell>
          <cell r="B64" t="str">
            <v>000064</v>
          </cell>
          <cell r="C64" t="str">
            <v>PCS</v>
          </cell>
          <cell r="D64" t="str">
            <v>C62</v>
          </cell>
        </row>
        <row r="65">
          <cell r="A65" t="str">
            <v>SEAL PLUG</v>
          </cell>
          <cell r="B65" t="str">
            <v>000065</v>
          </cell>
          <cell r="C65" t="str">
            <v>PCS</v>
          </cell>
          <cell r="D65" t="str">
            <v>C62</v>
          </cell>
        </row>
        <row r="66">
          <cell r="A66" t="str">
            <v>SEAT</v>
          </cell>
          <cell r="B66" t="str">
            <v>000066</v>
          </cell>
          <cell r="C66" t="str">
            <v>PCS</v>
          </cell>
          <cell r="D66" t="str">
            <v>C62</v>
          </cell>
        </row>
        <row r="67">
          <cell r="A67" t="str">
            <v>SHEET KEY</v>
          </cell>
          <cell r="B67" t="str">
            <v>000067</v>
          </cell>
          <cell r="C67" t="str">
            <v>SET</v>
          </cell>
          <cell r="D67" t="str">
            <v>SET</v>
          </cell>
        </row>
        <row r="68">
          <cell r="A68" t="str">
            <v>SLEEVE</v>
          </cell>
          <cell r="B68" t="str">
            <v>000068</v>
          </cell>
          <cell r="C68" t="str">
            <v>PCS</v>
          </cell>
          <cell r="D68" t="str">
            <v>C62</v>
          </cell>
        </row>
        <row r="69">
          <cell r="A69" t="str">
            <v>SPINDLE CHUCK DEVICE</v>
          </cell>
          <cell r="B69" t="str">
            <v>000069</v>
          </cell>
          <cell r="C69" t="str">
            <v>SET</v>
          </cell>
          <cell r="D69" t="str">
            <v>SET</v>
          </cell>
        </row>
        <row r="70">
          <cell r="A70" t="str">
            <v>SPRING</v>
          </cell>
          <cell r="B70" t="str">
            <v>000070</v>
          </cell>
          <cell r="C70" t="str">
            <v>PCS</v>
          </cell>
          <cell r="D70" t="str">
            <v>C62</v>
          </cell>
        </row>
        <row r="71">
          <cell r="A71" t="str">
            <v>STOPPER</v>
          </cell>
          <cell r="B71" t="str">
            <v>000071</v>
          </cell>
          <cell r="C71" t="str">
            <v>PCS</v>
          </cell>
          <cell r="D71" t="str">
            <v>C62</v>
          </cell>
        </row>
        <row r="72">
          <cell r="A72" t="str">
            <v>STOPPER BLOCK</v>
          </cell>
          <cell r="B72" t="str">
            <v>000072</v>
          </cell>
          <cell r="C72" t="str">
            <v>PCS</v>
          </cell>
          <cell r="D72" t="str">
            <v>C62</v>
          </cell>
        </row>
        <row r="73">
          <cell r="A73" t="str">
            <v>TEE</v>
          </cell>
          <cell r="B73" t="str">
            <v>000073</v>
          </cell>
          <cell r="C73" t="str">
            <v>PCS</v>
          </cell>
          <cell r="D73" t="str">
            <v>C62</v>
          </cell>
        </row>
        <row r="74">
          <cell r="A74" t="str">
            <v>TOOL HOLDER</v>
          </cell>
          <cell r="B74" t="str">
            <v>000074</v>
          </cell>
          <cell r="C74" t="str">
            <v>SET</v>
          </cell>
          <cell r="D74" t="str">
            <v>SET</v>
          </cell>
        </row>
        <row r="75">
          <cell r="A75" t="str">
            <v>TUBE INSERT</v>
          </cell>
          <cell r="B75" t="str">
            <v>000075</v>
          </cell>
          <cell r="C75" t="str">
            <v>PCS</v>
          </cell>
          <cell r="D75" t="str">
            <v>C62</v>
          </cell>
        </row>
        <row r="76">
          <cell r="A76" t="str">
            <v>WORKPIECE SEPARATOR</v>
          </cell>
          <cell r="B76" t="str">
            <v>000077</v>
          </cell>
          <cell r="C76" t="str">
            <v>PCS</v>
          </cell>
          <cell r="D76" t="str">
            <v>C62</v>
          </cell>
        </row>
        <row r="77">
          <cell r="A77" t="str">
            <v>Y-SHAFT MOTOR BRACKET</v>
          </cell>
          <cell r="B77" t="str">
            <v>000078</v>
          </cell>
          <cell r="C77" t="str">
            <v>PCS</v>
          </cell>
          <cell r="D77" t="str">
            <v>C62</v>
          </cell>
        </row>
        <row r="78">
          <cell r="A78" t="str">
            <v>2-ROTARY TOOLS DRIVING DEVICE WITH SP</v>
          </cell>
          <cell r="B78" t="str">
            <v>000079</v>
          </cell>
          <cell r="C78" t="str">
            <v>SET</v>
          </cell>
          <cell r="D78" t="str">
            <v>SET</v>
          </cell>
        </row>
        <row r="79">
          <cell r="A79" t="str">
            <v>DEDICATED COVER</v>
          </cell>
          <cell r="B79" t="str">
            <v>000080</v>
          </cell>
          <cell r="C79" t="str">
            <v>PCS</v>
          </cell>
          <cell r="D79" t="str">
            <v>C62</v>
          </cell>
        </row>
        <row r="80">
          <cell r="A80" t="str">
            <v>ADJUSTING ARM</v>
          </cell>
          <cell r="B80" t="str">
            <v>000081</v>
          </cell>
          <cell r="C80" t="str">
            <v>PCS</v>
          </cell>
          <cell r="D80" t="str">
            <v>C62</v>
          </cell>
        </row>
        <row r="81">
          <cell r="A81" t="str">
            <v>AC SERVO MOTOR</v>
          </cell>
          <cell r="B81" t="str">
            <v>000082</v>
          </cell>
          <cell r="C81" t="str">
            <v>PCS</v>
          </cell>
          <cell r="D81" t="str">
            <v>C62</v>
          </cell>
        </row>
        <row r="82">
          <cell r="A82" t="str">
            <v>BOBBIN</v>
          </cell>
          <cell r="B82" t="str">
            <v>000083</v>
          </cell>
          <cell r="C82" t="str">
            <v>PCS</v>
          </cell>
          <cell r="D82" t="str">
            <v>C62</v>
          </cell>
        </row>
        <row r="83">
          <cell r="A83" t="str">
            <v>CHUCKING LEVER</v>
          </cell>
          <cell r="B83" t="str">
            <v>000084</v>
          </cell>
          <cell r="C83" t="str">
            <v>PCS</v>
          </cell>
          <cell r="D83" t="str">
            <v>C62</v>
          </cell>
        </row>
        <row r="84">
          <cell r="A84" t="str">
            <v>DUMMY BIT</v>
          </cell>
          <cell r="B84" t="str">
            <v>000085</v>
          </cell>
          <cell r="C84" t="str">
            <v>PCS</v>
          </cell>
          <cell r="D84" t="str">
            <v>C62</v>
          </cell>
        </row>
        <row r="85">
          <cell r="A85" t="str">
            <v>FILTER REGULATOR</v>
          </cell>
          <cell r="B85" t="str">
            <v>000086</v>
          </cell>
          <cell r="C85" t="str">
            <v>PCS</v>
          </cell>
          <cell r="D85" t="str">
            <v>C62</v>
          </cell>
        </row>
        <row r="86">
          <cell r="A86" t="str">
            <v>FINGER</v>
          </cell>
          <cell r="B86" t="str">
            <v>000087</v>
          </cell>
          <cell r="C86" t="str">
            <v>PCS</v>
          </cell>
          <cell r="D86" t="str">
            <v>C62</v>
          </cell>
        </row>
        <row r="87">
          <cell r="A87" t="str">
            <v>FINGER HOLDER</v>
          </cell>
          <cell r="B87" t="str">
            <v>000088</v>
          </cell>
          <cell r="C87" t="str">
            <v>PCS</v>
          </cell>
          <cell r="D87" t="str">
            <v>C62</v>
          </cell>
        </row>
        <row r="88">
          <cell r="A88" t="str">
            <v>GEAR</v>
          </cell>
          <cell r="B88" t="str">
            <v>000089</v>
          </cell>
          <cell r="C88" t="str">
            <v>PCS</v>
          </cell>
          <cell r="D88" t="str">
            <v>C62</v>
          </cell>
        </row>
        <row r="89">
          <cell r="A89" t="str">
            <v>HOLDER</v>
          </cell>
          <cell r="B89" t="str">
            <v>000090</v>
          </cell>
          <cell r="C89" t="str">
            <v>PCS</v>
          </cell>
          <cell r="D89" t="str">
            <v>C62</v>
          </cell>
        </row>
        <row r="90">
          <cell r="A90" t="str">
            <v>HOUSING</v>
          </cell>
          <cell r="B90" t="str">
            <v>000091</v>
          </cell>
          <cell r="C90" t="str">
            <v>PCS</v>
          </cell>
          <cell r="D90" t="str">
            <v>C62</v>
          </cell>
        </row>
        <row r="91">
          <cell r="A91" t="str">
            <v>JOINT</v>
          </cell>
          <cell r="B91" t="str">
            <v>000092</v>
          </cell>
          <cell r="C91" t="str">
            <v>PCS</v>
          </cell>
          <cell r="D91" t="str">
            <v>C62</v>
          </cell>
        </row>
        <row r="92">
          <cell r="A92" t="str">
            <v>KEY</v>
          </cell>
          <cell r="B92" t="str">
            <v>000093</v>
          </cell>
          <cell r="C92" t="str">
            <v>PCS</v>
          </cell>
          <cell r="D92" t="str">
            <v>C62</v>
          </cell>
        </row>
        <row r="93">
          <cell r="A93" t="str">
            <v>KEY PIN</v>
          </cell>
          <cell r="B93" t="str">
            <v>000094</v>
          </cell>
          <cell r="C93" t="str">
            <v>PCS</v>
          </cell>
          <cell r="D93" t="str">
            <v>C62</v>
          </cell>
        </row>
        <row r="94">
          <cell r="A94" t="str">
            <v>KNOCKOUT PIPE</v>
          </cell>
          <cell r="B94" t="str">
            <v>000095</v>
          </cell>
          <cell r="C94" t="str">
            <v>PCS</v>
          </cell>
          <cell r="D94" t="str">
            <v>C62</v>
          </cell>
        </row>
        <row r="95">
          <cell r="A95" t="str">
            <v>KNOCK-OUT JIG</v>
          </cell>
          <cell r="B95" t="str">
            <v>000096</v>
          </cell>
          <cell r="C95" t="str">
            <v>PCS</v>
          </cell>
          <cell r="D95" t="str">
            <v>C62</v>
          </cell>
        </row>
        <row r="96">
          <cell r="A96" t="str">
            <v>KNOCK-OUT JIG FOR THROUGHT HOLE WORKPIECE</v>
          </cell>
          <cell r="B96" t="str">
            <v>000097</v>
          </cell>
          <cell r="C96" t="str">
            <v>SET</v>
          </cell>
          <cell r="D96" t="str">
            <v>SET</v>
          </cell>
        </row>
        <row r="97">
          <cell r="A97" t="str">
            <v>LEVER SHAFT</v>
          </cell>
          <cell r="B97" t="str">
            <v>000098</v>
          </cell>
          <cell r="C97" t="str">
            <v>PCS</v>
          </cell>
          <cell r="D97" t="str">
            <v>C62</v>
          </cell>
        </row>
        <row r="98">
          <cell r="A98" t="str">
            <v>LOCK NUT</v>
          </cell>
          <cell r="B98" t="str">
            <v>000099</v>
          </cell>
          <cell r="C98" t="str">
            <v>PCS</v>
          </cell>
          <cell r="D98" t="str">
            <v>C62</v>
          </cell>
        </row>
        <row r="99">
          <cell r="A99" t="str">
            <v>MOTOR PLATE</v>
          </cell>
          <cell r="B99" t="str">
            <v>000100</v>
          </cell>
          <cell r="C99" t="str">
            <v>PCS</v>
          </cell>
          <cell r="D99" t="str">
            <v>C62</v>
          </cell>
        </row>
        <row r="100">
          <cell r="A100" t="str">
            <v>PIN</v>
          </cell>
          <cell r="B100" t="str">
            <v>000101</v>
          </cell>
          <cell r="C100" t="str">
            <v>PCS</v>
          </cell>
          <cell r="D100" t="str">
            <v>C62</v>
          </cell>
        </row>
        <row r="101">
          <cell r="A101" t="str">
            <v>PIVOT</v>
          </cell>
          <cell r="B101" t="str">
            <v>000102</v>
          </cell>
          <cell r="C101" t="str">
            <v>PCS</v>
          </cell>
          <cell r="D101" t="str">
            <v>C62</v>
          </cell>
        </row>
        <row r="102">
          <cell r="A102" t="str">
            <v>PLATE</v>
          </cell>
          <cell r="B102" t="str">
            <v>000103</v>
          </cell>
          <cell r="C102" t="str">
            <v>PCS</v>
          </cell>
          <cell r="D102" t="str">
            <v>C62</v>
          </cell>
        </row>
        <row r="103">
          <cell r="A103" t="str">
            <v>SERVO UNIT</v>
          </cell>
          <cell r="B103" t="str">
            <v>000104</v>
          </cell>
          <cell r="C103" t="str">
            <v>PCS</v>
          </cell>
          <cell r="D103" t="str">
            <v>C62</v>
          </cell>
        </row>
        <row r="104">
          <cell r="A104" t="str">
            <v>SHAFT</v>
          </cell>
          <cell r="B104" t="str">
            <v>000105</v>
          </cell>
          <cell r="C104" t="str">
            <v>PCS</v>
          </cell>
          <cell r="D104" t="str">
            <v>C62</v>
          </cell>
        </row>
        <row r="105">
          <cell r="A105" t="str">
            <v>SPACER</v>
          </cell>
          <cell r="B105" t="str">
            <v>000106</v>
          </cell>
          <cell r="C105" t="str">
            <v>PCS</v>
          </cell>
          <cell r="D105" t="str">
            <v>C62</v>
          </cell>
        </row>
        <row r="106">
          <cell r="A106" t="str">
            <v>SPEED CONTROLLER</v>
          </cell>
          <cell r="B106" t="str">
            <v>000107</v>
          </cell>
          <cell r="C106" t="str">
            <v>PCS</v>
          </cell>
          <cell r="D106" t="str">
            <v>C62</v>
          </cell>
        </row>
        <row r="107">
          <cell r="A107" t="str">
            <v>SPINDLE</v>
          </cell>
          <cell r="B107" t="str">
            <v>000108</v>
          </cell>
          <cell r="C107" t="str">
            <v>PCS</v>
          </cell>
          <cell r="D107" t="str">
            <v>C62</v>
          </cell>
        </row>
        <row r="108">
          <cell r="A108" t="str">
            <v>SUPPORT UNIT</v>
          </cell>
          <cell r="B108" t="str">
            <v>000109</v>
          </cell>
          <cell r="C108" t="str">
            <v>PCS</v>
          </cell>
          <cell r="D108" t="str">
            <v>C62</v>
          </cell>
        </row>
        <row r="109">
          <cell r="A109" t="str">
            <v>WINDOW</v>
          </cell>
          <cell r="B109" t="str">
            <v>000110</v>
          </cell>
          <cell r="C109" t="str">
            <v>PCS</v>
          </cell>
          <cell r="D109" t="str">
            <v>C62</v>
          </cell>
        </row>
        <row r="110">
          <cell r="A110" t="str">
            <v>SOLDERLESS TERMINAL</v>
          </cell>
          <cell r="B110" t="str">
            <v>000111</v>
          </cell>
          <cell r="C110" t="str">
            <v>PCS</v>
          </cell>
          <cell r="D110" t="str">
            <v>C62</v>
          </cell>
        </row>
        <row r="111">
          <cell r="A111" t="str">
            <v>SUMI TUBE</v>
          </cell>
          <cell r="B111" t="str">
            <v>000112</v>
          </cell>
          <cell r="C111" t="str">
            <v>MTR</v>
          </cell>
          <cell r="D111" t="str">
            <v>MTR</v>
          </cell>
        </row>
        <row r="112">
          <cell r="A112" t="str">
            <v>VINYL TUBE</v>
          </cell>
          <cell r="B112" t="str">
            <v>000113</v>
          </cell>
          <cell r="C112" t="str">
            <v>MTR</v>
          </cell>
          <cell r="D112" t="str">
            <v>MTR</v>
          </cell>
        </row>
        <row r="113">
          <cell r="A113" t="str">
            <v>NIPPLE</v>
          </cell>
          <cell r="B113" t="str">
            <v>000114</v>
          </cell>
          <cell r="C113" t="str">
            <v>PCS</v>
          </cell>
          <cell r="D113" t="str">
            <v>C62</v>
          </cell>
        </row>
        <row r="114">
          <cell r="A114" t="str">
            <v>RACK</v>
          </cell>
          <cell r="B114" t="str">
            <v>000115</v>
          </cell>
          <cell r="C114" t="str">
            <v>PCS</v>
          </cell>
          <cell r="D114" t="str">
            <v>C62</v>
          </cell>
        </row>
        <row r="115">
          <cell r="A115" t="str">
            <v>SUPER SEAL</v>
          </cell>
          <cell r="B115" t="str">
            <v>000116</v>
          </cell>
          <cell r="C115" t="str">
            <v>PCS</v>
          </cell>
          <cell r="D115" t="str">
            <v>C62</v>
          </cell>
        </row>
        <row r="116">
          <cell r="A116" t="str">
            <v>RING</v>
          </cell>
          <cell r="B116" t="str">
            <v>000117</v>
          </cell>
          <cell r="C116" t="str">
            <v>PCS</v>
          </cell>
          <cell r="D116" t="str">
            <v>C62</v>
          </cell>
        </row>
        <row r="117">
          <cell r="A117" t="str">
            <v>SIM</v>
          </cell>
          <cell r="B117" t="str">
            <v>000118</v>
          </cell>
          <cell r="C117" t="str">
            <v>PCS</v>
          </cell>
          <cell r="D117" t="str">
            <v>C62</v>
          </cell>
        </row>
        <row r="118">
          <cell r="A118" t="str">
            <v>SLEEVE HOLDER</v>
          </cell>
          <cell r="B118" t="str">
            <v>000119</v>
          </cell>
          <cell r="C118" t="str">
            <v>PCS</v>
          </cell>
          <cell r="D118" t="str">
            <v>C62</v>
          </cell>
        </row>
        <row r="119">
          <cell r="A119" t="str">
            <v>ROTARY TOOLS DRIVING DEVICE WITH SP</v>
          </cell>
          <cell r="B119" t="str">
            <v>000120</v>
          </cell>
          <cell r="C119" t="str">
            <v>SET</v>
          </cell>
          <cell r="D119" t="str">
            <v>SET</v>
          </cell>
        </row>
        <row r="120">
          <cell r="A120" t="str">
            <v>PIPE SUPPORT</v>
          </cell>
          <cell r="B120" t="str">
            <v>000121</v>
          </cell>
          <cell r="C120" t="str">
            <v>PCS</v>
          </cell>
          <cell r="D120" t="str">
            <v>C62</v>
          </cell>
        </row>
        <row r="121">
          <cell r="A121" t="str">
            <v>BACK SPINDLE CHUCK DEVICE</v>
          </cell>
          <cell r="B121" t="str">
            <v>000122</v>
          </cell>
          <cell r="C121" t="str">
            <v>PCS</v>
          </cell>
          <cell r="D121" t="str">
            <v>C62</v>
          </cell>
        </row>
        <row r="122">
          <cell r="A122" t="str">
            <v>3 STEP SIGNAL TOWER</v>
          </cell>
          <cell r="B122" t="str">
            <v>000123</v>
          </cell>
          <cell r="C122" t="str">
            <v>SET</v>
          </cell>
          <cell r="D122" t="str">
            <v>SET</v>
          </cell>
        </row>
        <row r="123">
          <cell r="A123" t="str">
            <v>DIFFERENTIAL TAP</v>
          </cell>
          <cell r="B123" t="str">
            <v>000124</v>
          </cell>
          <cell r="C123" t="str">
            <v>SET</v>
          </cell>
          <cell r="D123" t="str">
            <v>SET</v>
          </cell>
        </row>
        <row r="124">
          <cell r="A124" t="str">
            <v>FEED PIPE</v>
          </cell>
          <cell r="B124" t="str">
            <v>000125</v>
          </cell>
          <cell r="C124" t="str">
            <v>SET</v>
          </cell>
          <cell r="D124" t="str">
            <v>SET</v>
          </cell>
        </row>
        <row r="125">
          <cell r="A125" t="str">
            <v>CABLE</v>
          </cell>
          <cell r="B125" t="str">
            <v>000126</v>
          </cell>
          <cell r="C125" t="str">
            <v>PCS</v>
          </cell>
          <cell r="D125" t="str">
            <v>C62</v>
          </cell>
        </row>
        <row r="126">
          <cell r="A126" t="str">
            <v>CONNECT PARTS</v>
          </cell>
          <cell r="B126" t="str">
            <v>000127</v>
          </cell>
          <cell r="C126" t="str">
            <v>PCS</v>
          </cell>
          <cell r="D126" t="str">
            <v>C62</v>
          </cell>
        </row>
        <row r="127">
          <cell r="A127" t="str">
            <v>ELECTRIC PARTS</v>
          </cell>
          <cell r="B127" t="str">
            <v>000128</v>
          </cell>
          <cell r="C127" t="str">
            <v>PCS</v>
          </cell>
          <cell r="D127" t="str">
            <v>C62</v>
          </cell>
        </row>
        <row r="128">
          <cell r="A128" t="str">
            <v>ELECTRON PARTS</v>
          </cell>
          <cell r="B128" t="str">
            <v>000129</v>
          </cell>
          <cell r="C128" t="str">
            <v>PCS</v>
          </cell>
          <cell r="D128" t="str">
            <v>C62</v>
          </cell>
        </row>
        <row r="129">
          <cell r="A129" t="str">
            <v>LABEL</v>
          </cell>
          <cell r="B129" t="str">
            <v>000130</v>
          </cell>
          <cell r="C129" t="str">
            <v>PCS</v>
          </cell>
          <cell r="D129" t="str">
            <v>C62</v>
          </cell>
        </row>
        <row r="130">
          <cell r="A130" t="str">
            <v>WIRING PARTS</v>
          </cell>
          <cell r="B130" t="str">
            <v>000131</v>
          </cell>
          <cell r="C130" t="str">
            <v>PCS</v>
          </cell>
          <cell r="D130" t="str">
            <v>C62</v>
          </cell>
        </row>
        <row r="131">
          <cell r="A131" t="str">
            <v>BAR LOADER</v>
          </cell>
          <cell r="B131" t="str">
            <v>000132</v>
          </cell>
          <cell r="C131" t="str">
            <v>SET</v>
          </cell>
          <cell r="D131" t="str">
            <v>SET</v>
          </cell>
        </row>
        <row r="132">
          <cell r="A132" t="str">
            <v>CYLINDER</v>
          </cell>
          <cell r="B132" t="str">
            <v>000133</v>
          </cell>
          <cell r="C132" t="str">
            <v>PCS</v>
          </cell>
          <cell r="D132" t="str">
            <v>C62</v>
          </cell>
        </row>
        <row r="133">
          <cell r="A133" t="str">
            <v>HOSE JOINT</v>
          </cell>
          <cell r="B133" t="str">
            <v>000134</v>
          </cell>
          <cell r="C133" t="str">
            <v>PCS</v>
          </cell>
          <cell r="D133" t="str">
            <v>C62</v>
          </cell>
        </row>
        <row r="134">
          <cell r="A134" t="str">
            <v>LEVER BRACKET</v>
          </cell>
          <cell r="B134" t="str">
            <v>000135</v>
          </cell>
          <cell r="C134" t="str">
            <v>PCS</v>
          </cell>
          <cell r="D134" t="str">
            <v>C62</v>
          </cell>
        </row>
        <row r="135">
          <cell r="A135" t="str">
            <v>MUFFLER</v>
          </cell>
          <cell r="B135" t="str">
            <v>000136</v>
          </cell>
          <cell r="C135" t="str">
            <v>PCS</v>
          </cell>
          <cell r="D135" t="str">
            <v>C62</v>
          </cell>
        </row>
        <row r="136">
          <cell r="A136" t="str">
            <v>QUICK FITTING</v>
          </cell>
          <cell r="B136" t="str">
            <v>000137</v>
          </cell>
          <cell r="C136" t="str">
            <v>PCS</v>
          </cell>
          <cell r="D136" t="str">
            <v>C62</v>
          </cell>
        </row>
        <row r="137">
          <cell r="A137" t="str">
            <v>EYE BOLT</v>
          </cell>
          <cell r="B137" t="str">
            <v>000138</v>
          </cell>
          <cell r="C137" t="str">
            <v>PCS</v>
          </cell>
          <cell r="D137" t="str">
            <v>C62</v>
          </cell>
        </row>
        <row r="138">
          <cell r="A138" t="str">
            <v>SAFETY SWITCH</v>
          </cell>
          <cell r="B138" t="str">
            <v>000139</v>
          </cell>
          <cell r="C138" t="str">
            <v>PCS</v>
          </cell>
          <cell r="D138" t="str">
            <v>C62</v>
          </cell>
        </row>
        <row r="139">
          <cell r="A139" t="str">
            <v>STRAIGHT ACTUATOR</v>
          </cell>
          <cell r="B139" t="str">
            <v>000140</v>
          </cell>
          <cell r="C139" t="str">
            <v>PCS</v>
          </cell>
          <cell r="D139" t="str">
            <v>C62</v>
          </cell>
        </row>
        <row r="140">
          <cell r="A140" t="str">
            <v>CABLE GRAND</v>
          </cell>
          <cell r="B140" t="str">
            <v>000141</v>
          </cell>
          <cell r="C140" t="str">
            <v>PCS</v>
          </cell>
          <cell r="D140" t="str">
            <v>C62</v>
          </cell>
        </row>
        <row r="141">
          <cell r="A141" t="str">
            <v>HINGED ACTUATOR</v>
          </cell>
          <cell r="B141" t="str">
            <v>000142</v>
          </cell>
          <cell r="C141" t="str">
            <v>PCS</v>
          </cell>
          <cell r="D141" t="str">
            <v>C62</v>
          </cell>
        </row>
        <row r="142">
          <cell r="A142" t="str">
            <v>RELAY</v>
          </cell>
          <cell r="B142" t="str">
            <v>000143</v>
          </cell>
          <cell r="C142" t="str">
            <v>PCS</v>
          </cell>
          <cell r="D142" t="str">
            <v>C62</v>
          </cell>
        </row>
        <row r="143">
          <cell r="A143" t="str">
            <v>SENSOR</v>
          </cell>
          <cell r="B143" t="str">
            <v>000144</v>
          </cell>
          <cell r="C143" t="str">
            <v>PCS</v>
          </cell>
          <cell r="D143" t="str">
            <v>C62</v>
          </cell>
        </row>
        <row r="144">
          <cell r="A144" t="str">
            <v>PULLEY</v>
          </cell>
          <cell r="B144" t="str">
            <v>000145</v>
          </cell>
          <cell r="C144" t="str">
            <v>PCS</v>
          </cell>
          <cell r="D144" t="str">
            <v>C62</v>
          </cell>
        </row>
        <row r="145">
          <cell r="A145" t="str">
            <v>TIMING BELT</v>
          </cell>
          <cell r="B145" t="str">
            <v>000146</v>
          </cell>
          <cell r="C145" t="str">
            <v>PCS</v>
          </cell>
          <cell r="D145" t="str">
            <v>C62</v>
          </cell>
        </row>
        <row r="146">
          <cell r="A146" t="str">
            <v>VALVE</v>
          </cell>
          <cell r="B146" t="str">
            <v>000147</v>
          </cell>
          <cell r="C146" t="str">
            <v>PCS</v>
          </cell>
          <cell r="D146" t="str">
            <v>C62</v>
          </cell>
        </row>
        <row r="147">
          <cell r="A147" t="str">
            <v>SEAL</v>
          </cell>
          <cell r="B147" t="str">
            <v>000148</v>
          </cell>
          <cell r="C147" t="str">
            <v>PCS</v>
          </cell>
          <cell r="D147" t="str">
            <v>C62</v>
          </cell>
        </row>
        <row r="148">
          <cell r="A148" t="str">
            <v>NUT RECEIVE</v>
          </cell>
          <cell r="B148" t="str">
            <v>000149</v>
          </cell>
          <cell r="C148" t="str">
            <v>PCS</v>
          </cell>
          <cell r="D148" t="str">
            <v>C62</v>
          </cell>
        </row>
        <row r="149">
          <cell r="A149" t="str">
            <v>WORK PIECE DRAW-OUT DEVICE</v>
          </cell>
          <cell r="B149" t="str">
            <v>000150</v>
          </cell>
          <cell r="C149" t="str">
            <v>SET</v>
          </cell>
          <cell r="D149" t="str">
            <v>SET</v>
          </cell>
        </row>
        <row r="150">
          <cell r="A150" t="str">
            <v>AIR SEAL DEVICE</v>
          </cell>
          <cell r="B150" t="str">
            <v>000151</v>
          </cell>
          <cell r="C150" t="str">
            <v>SET</v>
          </cell>
          <cell r="D150" t="str">
            <v>SET</v>
          </cell>
        </row>
        <row r="151">
          <cell r="A151" t="str">
            <v>HANDLE</v>
          </cell>
          <cell r="B151" t="str">
            <v>000152</v>
          </cell>
          <cell r="C151" t="str">
            <v>PCS</v>
          </cell>
          <cell r="D151" t="str">
            <v>C62</v>
          </cell>
        </row>
        <row r="152">
          <cell r="A152" t="str">
            <v>DAMPER</v>
          </cell>
          <cell r="B152" t="str">
            <v>000153</v>
          </cell>
          <cell r="C152" t="str">
            <v>PCS</v>
          </cell>
          <cell r="D152" t="str">
            <v>C62</v>
          </cell>
        </row>
        <row r="153">
          <cell r="A153" t="str">
            <v>CAM FOLLOWER</v>
          </cell>
          <cell r="B153" t="str">
            <v>000154</v>
          </cell>
          <cell r="C153" t="str">
            <v>PCS</v>
          </cell>
          <cell r="D153" t="str">
            <v>C62</v>
          </cell>
        </row>
        <row r="154">
          <cell r="A154" t="str">
            <v>CUSHION RUBBER</v>
          </cell>
          <cell r="B154" t="str">
            <v>000155</v>
          </cell>
          <cell r="C154" t="str">
            <v>PCS</v>
          </cell>
          <cell r="D154" t="str">
            <v>C62</v>
          </cell>
        </row>
        <row r="155">
          <cell r="A155" t="str">
            <v>SWITCH</v>
          </cell>
          <cell r="B155" t="str">
            <v>000156</v>
          </cell>
          <cell r="C155" t="str">
            <v>PCS</v>
          </cell>
          <cell r="D155" t="str">
            <v>C62</v>
          </cell>
        </row>
        <row r="156">
          <cell r="A156" t="str">
            <v>PUSH BOTTOM SWITCH</v>
          </cell>
          <cell r="B156" t="str">
            <v>000156</v>
          </cell>
          <cell r="C156" t="str">
            <v>PCS</v>
          </cell>
          <cell r="D156" t="str">
            <v>C62</v>
          </cell>
        </row>
        <row r="157">
          <cell r="A157" t="str">
            <v>SWITCH BOTTOM</v>
          </cell>
          <cell r="B157" t="str">
            <v>000156</v>
          </cell>
          <cell r="C157" t="str">
            <v>PCS</v>
          </cell>
          <cell r="D157" t="str">
            <v>C62</v>
          </cell>
        </row>
        <row r="158">
          <cell r="A158" t="str">
            <v>BALL CATCH</v>
          </cell>
          <cell r="B158" t="str">
            <v>000157</v>
          </cell>
          <cell r="C158" t="str">
            <v>SET</v>
          </cell>
          <cell r="D158" t="str">
            <v>SET</v>
          </cell>
        </row>
        <row r="159">
          <cell r="A159" t="str">
            <v>PRESSURE SWITCH</v>
          </cell>
          <cell r="B159" t="str">
            <v>000158</v>
          </cell>
          <cell r="C159" t="str">
            <v>PCS</v>
          </cell>
          <cell r="D159" t="str">
            <v>C62</v>
          </cell>
        </row>
        <row r="160">
          <cell r="A160" t="str">
            <v>FAN MOTOR</v>
          </cell>
          <cell r="B160" t="str">
            <v>000159</v>
          </cell>
          <cell r="C160" t="str">
            <v>PCS</v>
          </cell>
          <cell r="D160" t="str">
            <v>C62</v>
          </cell>
        </row>
        <row r="161">
          <cell r="A161" t="str">
            <v>FINGER GUARD</v>
          </cell>
          <cell r="B161" t="str">
            <v>000160</v>
          </cell>
          <cell r="C161" t="str">
            <v>PCS</v>
          </cell>
          <cell r="D161" t="str">
            <v>C62</v>
          </cell>
        </row>
        <row r="162">
          <cell r="A162" t="str">
            <v>SOCKET</v>
          </cell>
          <cell r="B162" t="str">
            <v>000161</v>
          </cell>
          <cell r="C162" t="str">
            <v>PCS</v>
          </cell>
          <cell r="D162" t="str">
            <v>C62</v>
          </cell>
        </row>
        <row r="163">
          <cell r="A163" t="str">
            <v>ADAPTER</v>
          </cell>
          <cell r="B163" t="str">
            <v>000162</v>
          </cell>
          <cell r="C163" t="str">
            <v>PCS</v>
          </cell>
          <cell r="D163" t="str">
            <v>C62</v>
          </cell>
        </row>
        <row r="164">
          <cell r="A164" t="str">
            <v>CLAMP</v>
          </cell>
          <cell r="B164" t="str">
            <v>000163</v>
          </cell>
          <cell r="C164" t="str">
            <v>PCS</v>
          </cell>
          <cell r="D164" t="str">
            <v>C62</v>
          </cell>
        </row>
        <row r="165">
          <cell r="A165" t="str">
            <v>TABLE SHEET</v>
          </cell>
          <cell r="B165" t="str">
            <v>000164</v>
          </cell>
          <cell r="C165" t="str">
            <v>PCS</v>
          </cell>
          <cell r="D165" t="str">
            <v>C62</v>
          </cell>
        </row>
        <row r="166">
          <cell r="A166" t="str">
            <v>STAINLESS WIRE ROPE</v>
          </cell>
          <cell r="B166" t="str">
            <v>000165</v>
          </cell>
          <cell r="C166" t="str">
            <v>PCS</v>
          </cell>
          <cell r="D166" t="str">
            <v>C62</v>
          </cell>
        </row>
        <row r="167">
          <cell r="A167" t="str">
            <v>SADDLE</v>
          </cell>
          <cell r="B167" t="str">
            <v>000166</v>
          </cell>
          <cell r="C167" t="str">
            <v>PCS</v>
          </cell>
          <cell r="D167" t="str">
            <v>C62</v>
          </cell>
        </row>
        <row r="168">
          <cell r="A168" t="str">
            <v>BAND RAIL</v>
          </cell>
          <cell r="B168" t="str">
            <v>000167</v>
          </cell>
          <cell r="C168" t="str">
            <v>PCS</v>
          </cell>
          <cell r="D168" t="str">
            <v>C62</v>
          </cell>
        </row>
        <row r="169">
          <cell r="A169" t="str">
            <v>BALL SPLINE</v>
          </cell>
          <cell r="B169" t="str">
            <v>000168</v>
          </cell>
          <cell r="C169" t="str">
            <v>PCS</v>
          </cell>
          <cell r="D169" t="str">
            <v>C62</v>
          </cell>
        </row>
        <row r="170">
          <cell r="A170" t="str">
            <v>WORK PIECE CONVEYOR DEVICE</v>
          </cell>
          <cell r="B170" t="str">
            <v>000169</v>
          </cell>
          <cell r="C170" t="str">
            <v>SET</v>
          </cell>
          <cell r="D170" t="str">
            <v>SET</v>
          </cell>
        </row>
        <row r="171">
          <cell r="A171" t="str">
            <v>GLASS</v>
          </cell>
          <cell r="B171" t="str">
            <v>000170</v>
          </cell>
          <cell r="C171" t="str">
            <v>PCS</v>
          </cell>
          <cell r="D171" t="str">
            <v>C62</v>
          </cell>
        </row>
        <row r="172">
          <cell r="A172" t="str">
            <v>PRESSURE GAGUE</v>
          </cell>
          <cell r="B172" t="str">
            <v>000171</v>
          </cell>
          <cell r="C172" t="str">
            <v>PCS</v>
          </cell>
          <cell r="D172" t="str">
            <v>C62</v>
          </cell>
        </row>
        <row r="173">
          <cell r="A173" t="str">
            <v>I/O UNIT</v>
          </cell>
          <cell r="B173" t="str">
            <v>000172</v>
          </cell>
          <cell r="C173" t="str">
            <v>SET</v>
          </cell>
          <cell r="D173" t="str">
            <v>SET</v>
          </cell>
        </row>
        <row r="174">
          <cell r="A174" t="str">
            <v>BED</v>
          </cell>
          <cell r="B174" t="str">
            <v>000173</v>
          </cell>
          <cell r="C174" t="str">
            <v>PCS</v>
          </cell>
          <cell r="D174" t="str">
            <v>C62</v>
          </cell>
        </row>
        <row r="175">
          <cell r="A175" t="str">
            <v>TOOL POST</v>
          </cell>
          <cell r="B175" t="str">
            <v>000174</v>
          </cell>
          <cell r="C175" t="str">
            <v>PCS</v>
          </cell>
          <cell r="D175" t="str">
            <v>C62</v>
          </cell>
        </row>
        <row r="176">
          <cell r="A176" t="str">
            <v>Z2 SLIDE</v>
          </cell>
          <cell r="B176" t="str">
            <v>000175</v>
          </cell>
          <cell r="C176" t="str">
            <v>PCS</v>
          </cell>
          <cell r="D176" t="str">
            <v>C62</v>
          </cell>
        </row>
        <row r="177">
          <cell r="A177" t="str">
            <v>AIR UNIT</v>
          </cell>
          <cell r="B177" t="str">
            <v>000176</v>
          </cell>
          <cell r="C177" t="str">
            <v>SET</v>
          </cell>
          <cell r="D177" t="str">
            <v>SET</v>
          </cell>
        </row>
        <row r="178">
          <cell r="A178" t="str">
            <v>LUBRICATION PIPE</v>
          </cell>
          <cell r="B178" t="str">
            <v>000177</v>
          </cell>
          <cell r="C178" t="str">
            <v>SET</v>
          </cell>
          <cell r="D178" t="str">
            <v>SET</v>
          </cell>
        </row>
        <row r="179">
          <cell r="A179" t="str">
            <v>MILLING SPINDLE</v>
          </cell>
          <cell r="B179" t="str">
            <v>000178</v>
          </cell>
          <cell r="C179" t="str">
            <v>SET</v>
          </cell>
          <cell r="D179" t="str">
            <v>SET</v>
          </cell>
        </row>
        <row r="180">
          <cell r="A180" t="str">
            <v>COOLANT FLOW DETECTOR</v>
          </cell>
          <cell r="B180" t="str">
            <v>000179</v>
          </cell>
          <cell r="C180" t="str">
            <v>SET</v>
          </cell>
          <cell r="D180" t="str">
            <v>SET</v>
          </cell>
        </row>
        <row r="181">
          <cell r="A181" t="str">
            <v>WIPER</v>
          </cell>
          <cell r="B181" t="str">
            <v>000181</v>
          </cell>
          <cell r="C181" t="str">
            <v>PCS</v>
          </cell>
          <cell r="D181" t="str">
            <v>C62</v>
          </cell>
        </row>
        <row r="182">
          <cell r="A182" t="str">
            <v>KNOCK-OUT DEVICE</v>
          </cell>
          <cell r="B182" t="str">
            <v>000182</v>
          </cell>
          <cell r="C182" t="str">
            <v>SET</v>
          </cell>
          <cell r="D182" t="str">
            <v>SET</v>
          </cell>
        </row>
        <row r="183">
          <cell r="A183" t="str">
            <v>ELECTRICAL CONTROL DEVICE</v>
          </cell>
          <cell r="B183" t="str">
            <v>000183</v>
          </cell>
          <cell r="C183" t="str">
            <v>SET</v>
          </cell>
          <cell r="D183" t="str">
            <v>SET</v>
          </cell>
        </row>
        <row r="184">
          <cell r="A184" t="str">
            <v>COOLANT UNIT</v>
          </cell>
          <cell r="B184" t="str">
            <v>000184</v>
          </cell>
          <cell r="C184" t="str">
            <v>SET</v>
          </cell>
          <cell r="D184" t="str">
            <v>SET</v>
          </cell>
        </row>
        <row r="185">
          <cell r="A185" t="str">
            <v>ELECTRICAL EQUIPMENT</v>
          </cell>
          <cell r="B185" t="str">
            <v>000185</v>
          </cell>
          <cell r="C185" t="str">
            <v>SET</v>
          </cell>
          <cell r="D185" t="str">
            <v>SET</v>
          </cell>
        </row>
        <row r="186">
          <cell r="A186" t="str">
            <v>Y-SLIDE</v>
          </cell>
          <cell r="B186" t="str">
            <v>000186</v>
          </cell>
          <cell r="C186" t="str">
            <v>PCS</v>
          </cell>
          <cell r="D186" t="str">
            <v>C62</v>
          </cell>
        </row>
        <row r="187">
          <cell r="A187" t="str">
            <v>MOTOR HOUSING</v>
          </cell>
          <cell r="B187" t="str">
            <v>000187</v>
          </cell>
          <cell r="C187" t="str">
            <v>PCS</v>
          </cell>
          <cell r="D187" t="str">
            <v>C62</v>
          </cell>
        </row>
        <row r="188">
          <cell r="A188" t="str">
            <v>BATTERY BOX</v>
          </cell>
          <cell r="B188" t="str">
            <v>000188</v>
          </cell>
          <cell r="C188" t="str">
            <v>PCS</v>
          </cell>
          <cell r="D188" t="str">
            <v>C62</v>
          </cell>
        </row>
        <row r="189">
          <cell r="A189" t="str">
            <v>CAPCON</v>
          </cell>
          <cell r="B189" t="str">
            <v>000189</v>
          </cell>
          <cell r="C189" t="str">
            <v>PCS</v>
          </cell>
          <cell r="D189" t="str">
            <v>C62</v>
          </cell>
        </row>
        <row r="190">
          <cell r="A190" t="str">
            <v>FAN GUARD</v>
          </cell>
          <cell r="B190" t="str">
            <v>000190</v>
          </cell>
          <cell r="C190" t="str">
            <v>PCS</v>
          </cell>
          <cell r="D190" t="str">
            <v>C62</v>
          </cell>
        </row>
        <row r="191">
          <cell r="A191" t="str">
            <v>PCB</v>
          </cell>
          <cell r="B191" t="str">
            <v>000191</v>
          </cell>
          <cell r="C191" t="str">
            <v>PCS</v>
          </cell>
          <cell r="D191" t="str">
            <v>C62</v>
          </cell>
        </row>
        <row r="192">
          <cell r="A192" t="str">
            <v>PRINTED CIRCUIT BOARD</v>
          </cell>
          <cell r="B192" t="str">
            <v>000191</v>
          </cell>
          <cell r="C192" t="str">
            <v>PCS</v>
          </cell>
          <cell r="D192" t="str">
            <v>C62</v>
          </cell>
        </row>
        <row r="193">
          <cell r="A193" t="str">
            <v>NOISE FILTER</v>
          </cell>
          <cell r="B193" t="str">
            <v>000192</v>
          </cell>
          <cell r="C193" t="str">
            <v>PCS</v>
          </cell>
          <cell r="D193" t="str">
            <v>C62</v>
          </cell>
        </row>
        <row r="194">
          <cell r="A194" t="str">
            <v>SAFTY PARTS</v>
          </cell>
          <cell r="B194" t="str">
            <v>000193</v>
          </cell>
          <cell r="C194" t="str">
            <v>PCS</v>
          </cell>
          <cell r="D194" t="str">
            <v>C62</v>
          </cell>
        </row>
        <row r="195">
          <cell r="A195" t="str">
            <v>CS QUICK WEDGE</v>
          </cell>
          <cell r="B195" t="str">
            <v>000194</v>
          </cell>
          <cell r="C195" t="str">
            <v>PCS</v>
          </cell>
          <cell r="D195" t="str">
            <v>C62</v>
          </cell>
        </row>
        <row r="196">
          <cell r="A196" t="str">
            <v>FRONT 1- SPINDLE HOLDER</v>
          </cell>
          <cell r="B196" t="str">
            <v>000195</v>
          </cell>
          <cell r="C196" t="str">
            <v>PCS</v>
          </cell>
          <cell r="D196" t="str">
            <v>C62</v>
          </cell>
        </row>
        <row r="197">
          <cell r="A197" t="str">
            <v>STATOR</v>
          </cell>
          <cell r="B197" t="str">
            <v>000196</v>
          </cell>
          <cell r="C197" t="str">
            <v>PCS</v>
          </cell>
          <cell r="D197" t="str">
            <v>C62</v>
          </cell>
        </row>
        <row r="198">
          <cell r="A198" t="str">
            <v>MEDIUM PRESSURE COOLANT DEVICE</v>
          </cell>
          <cell r="B198" t="str">
            <v>000197</v>
          </cell>
          <cell r="C198" t="str">
            <v>PCS</v>
          </cell>
          <cell r="D198" t="str">
            <v>C62</v>
          </cell>
        </row>
        <row r="199">
          <cell r="A199" t="str">
            <v>MEDIUM PRESSURE COOLANT</v>
          </cell>
          <cell r="B199" t="str">
            <v>000197</v>
          </cell>
          <cell r="C199" t="str">
            <v>PCS</v>
          </cell>
          <cell r="D199" t="str">
            <v>C62</v>
          </cell>
        </row>
        <row r="200">
          <cell r="A200" t="str">
            <v>MEDIUM PRESSURE COOLANT BACK</v>
          </cell>
          <cell r="B200" t="str">
            <v>000197</v>
          </cell>
          <cell r="C200" t="str">
            <v>PCS</v>
          </cell>
          <cell r="D200" t="str">
            <v>C62</v>
          </cell>
        </row>
        <row r="201">
          <cell r="A201" t="str">
            <v>COOLANT PIPING</v>
          </cell>
          <cell r="B201" t="str">
            <v>000198</v>
          </cell>
          <cell r="C201" t="str">
            <v>PCS</v>
          </cell>
          <cell r="D201" t="str">
            <v>C62</v>
          </cell>
        </row>
        <row r="202">
          <cell r="A202" t="str">
            <v>COOLANT PIPING A320NU754R</v>
          </cell>
          <cell r="B202" t="str">
            <v>000198</v>
          </cell>
          <cell r="C202" t="str">
            <v>PCS</v>
          </cell>
          <cell r="D202" t="str">
            <v>C62</v>
          </cell>
        </row>
        <row r="203">
          <cell r="A203" t="str">
            <v>COOLANT PIPING A320NU755R</v>
          </cell>
          <cell r="B203" t="str">
            <v>000198</v>
          </cell>
          <cell r="C203" t="str">
            <v>PCS</v>
          </cell>
          <cell r="D203" t="str">
            <v>C62</v>
          </cell>
        </row>
        <row r="204">
          <cell r="A204" t="str">
            <v>COOLANT PIPING A320NU756R</v>
          </cell>
          <cell r="B204" t="str">
            <v>000198</v>
          </cell>
          <cell r="C204" t="str">
            <v>PCS</v>
          </cell>
          <cell r="D204" t="str">
            <v>C62</v>
          </cell>
        </row>
        <row r="205">
          <cell r="A205" t="str">
            <v>SLEEVE ADAPTER</v>
          </cell>
          <cell r="B205" t="str">
            <v>000199</v>
          </cell>
          <cell r="C205" t="str">
            <v>PCS</v>
          </cell>
          <cell r="D205" t="str">
            <v>C62</v>
          </cell>
        </row>
        <row r="206">
          <cell r="A206" t="str">
            <v>BUSHING</v>
          </cell>
          <cell r="B206" t="str">
            <v>000200</v>
          </cell>
          <cell r="C206" t="str">
            <v>PCS</v>
          </cell>
          <cell r="D206" t="str">
            <v>C62</v>
          </cell>
        </row>
        <row r="207">
          <cell r="A207" t="str">
            <v>PACKING</v>
          </cell>
          <cell r="B207" t="str">
            <v>000201</v>
          </cell>
          <cell r="C207" t="str">
            <v>PCS</v>
          </cell>
          <cell r="D207" t="str">
            <v>C62</v>
          </cell>
        </row>
        <row r="208">
          <cell r="A208" t="str">
            <v>PCB SUPPORT</v>
          </cell>
          <cell r="B208" t="str">
            <v>000202</v>
          </cell>
          <cell r="C208" t="str">
            <v>PCS</v>
          </cell>
          <cell r="D208" t="str">
            <v>C62</v>
          </cell>
        </row>
        <row r="209">
          <cell r="A209" t="str">
            <v>BACK 4-SHAFTS HOLDER</v>
          </cell>
          <cell r="B209" t="str">
            <v>000203</v>
          </cell>
          <cell r="C209" t="str">
            <v>PCS</v>
          </cell>
          <cell r="D209" t="str">
            <v>C62</v>
          </cell>
        </row>
        <row r="210">
          <cell r="A210" t="str">
            <v>BACK 4 SPINDLE HOLDER</v>
          </cell>
          <cell r="B210" t="str">
            <v>000204</v>
          </cell>
          <cell r="C210" t="str">
            <v>SET</v>
          </cell>
          <cell r="D210" t="str">
            <v>SET</v>
          </cell>
        </row>
        <row r="211">
          <cell r="A211" t="str">
            <v>CAUTION LABEL</v>
          </cell>
          <cell r="B211" t="str">
            <v>000205</v>
          </cell>
          <cell r="C211" t="str">
            <v>PCS</v>
          </cell>
          <cell r="D211" t="str">
            <v>C62</v>
          </cell>
        </row>
        <row r="212">
          <cell r="A212" t="str">
            <v>DANGER LABEL</v>
          </cell>
          <cell r="B212" t="str">
            <v>000205</v>
          </cell>
          <cell r="C212" t="str">
            <v>PCS</v>
          </cell>
          <cell r="D212" t="str">
            <v>C62</v>
          </cell>
        </row>
        <row r="213">
          <cell r="A213" t="str">
            <v>NAME LABEL</v>
          </cell>
          <cell r="B213" t="str">
            <v>000205</v>
          </cell>
          <cell r="C213" t="str">
            <v>PCS</v>
          </cell>
          <cell r="D213" t="str">
            <v>C62</v>
          </cell>
        </row>
        <row r="214">
          <cell r="A214" t="str">
            <v>WARNING LABEL</v>
          </cell>
          <cell r="B214" t="str">
            <v>000205</v>
          </cell>
          <cell r="C214" t="str">
            <v>PCS</v>
          </cell>
          <cell r="D214" t="str">
            <v>C62</v>
          </cell>
        </row>
        <row r="215">
          <cell r="A215" t="str">
            <v>HEAD STOCK</v>
          </cell>
          <cell r="B215" t="str">
            <v>000206</v>
          </cell>
          <cell r="C215" t="str">
            <v>PCS</v>
          </cell>
          <cell r="D215" t="str">
            <v>C62</v>
          </cell>
        </row>
        <row r="216">
          <cell r="A216" t="str">
            <v>NUMERICAL CONTROL DEVICE</v>
          </cell>
          <cell r="B216" t="str">
            <v>000207</v>
          </cell>
          <cell r="C216" t="str">
            <v>PCS</v>
          </cell>
          <cell r="D216" t="str">
            <v>C62</v>
          </cell>
        </row>
        <row r="217">
          <cell r="A217" t="str">
            <v>PATROL LIGHT</v>
          </cell>
          <cell r="B217" t="str">
            <v>000208</v>
          </cell>
          <cell r="C217" t="str">
            <v>PCS</v>
          </cell>
          <cell r="D217" t="str">
            <v>C62</v>
          </cell>
        </row>
        <row r="218">
          <cell r="A218" t="str">
            <v>WORK LIGHT</v>
          </cell>
          <cell r="B218" t="str">
            <v>000209</v>
          </cell>
          <cell r="C218" t="str">
            <v>PCS</v>
          </cell>
          <cell r="D218" t="str">
            <v>C62</v>
          </cell>
        </row>
        <row r="219">
          <cell r="A219" t="str">
            <v>BALL BEARING</v>
          </cell>
          <cell r="B219" t="str">
            <v>000210</v>
          </cell>
          <cell r="C219" t="str">
            <v>PCS</v>
          </cell>
          <cell r="D219" t="str">
            <v>C62</v>
          </cell>
        </row>
        <row r="220">
          <cell r="A220" t="str">
            <v>PUMP UNIT</v>
          </cell>
          <cell r="B220" t="str">
            <v>000211</v>
          </cell>
          <cell r="C220" t="str">
            <v>PCS</v>
          </cell>
          <cell r="D220" t="str">
            <v>C62</v>
          </cell>
        </row>
        <row r="221">
          <cell r="A221" t="str">
            <v>NBR SPONGE</v>
          </cell>
          <cell r="B221" t="str">
            <v>000212</v>
          </cell>
          <cell r="C221" t="str">
            <v>PCS</v>
          </cell>
          <cell r="D221" t="str">
            <v>C62</v>
          </cell>
        </row>
        <row r="222">
          <cell r="A222" t="str">
            <v>GUIDE BUSH BASE</v>
          </cell>
          <cell r="B222" t="str">
            <v>000213</v>
          </cell>
          <cell r="C222" t="str">
            <v>PCS</v>
          </cell>
          <cell r="D222" t="str">
            <v>C62</v>
          </cell>
        </row>
        <row r="223">
          <cell r="A223" t="str">
            <v>ALUMINIUM PIPE</v>
          </cell>
          <cell r="B223" t="str">
            <v>000214</v>
          </cell>
          <cell r="C223" t="str">
            <v>MTR</v>
          </cell>
          <cell r="D223" t="str">
            <v>MTR</v>
          </cell>
        </row>
        <row r="224">
          <cell r="A224" t="str">
            <v>ANGLE BASE</v>
          </cell>
          <cell r="B224" t="str">
            <v>000215</v>
          </cell>
          <cell r="C224" t="str">
            <v>PCS</v>
          </cell>
          <cell r="D224" t="str">
            <v>C62</v>
          </cell>
        </row>
        <row r="225">
          <cell r="A225" t="str">
            <v>CLOSED CONNECTOR RINGS</v>
          </cell>
          <cell r="B225" t="str">
            <v>000216</v>
          </cell>
          <cell r="C225" t="str">
            <v>PCS</v>
          </cell>
          <cell r="D225" t="str">
            <v>C62</v>
          </cell>
        </row>
        <row r="226">
          <cell r="A226" t="str">
            <v>CS QUICK WEGDE</v>
          </cell>
          <cell r="B226" t="str">
            <v>000217</v>
          </cell>
          <cell r="C226" t="str">
            <v>PCS</v>
          </cell>
          <cell r="D226" t="str">
            <v>C62</v>
          </cell>
        </row>
        <row r="227">
          <cell r="A227" t="str">
            <v>FIXING PLUG</v>
          </cell>
          <cell r="B227" t="str">
            <v>000218</v>
          </cell>
          <cell r="C227" t="str">
            <v>PCS</v>
          </cell>
          <cell r="D227" t="str">
            <v>C62</v>
          </cell>
        </row>
        <row r="228">
          <cell r="A228" t="str">
            <v>FLAT HEAD SCREW</v>
          </cell>
          <cell r="B228" t="str">
            <v>000219</v>
          </cell>
          <cell r="C228" t="str">
            <v>PCS</v>
          </cell>
          <cell r="D228" t="str">
            <v>C62</v>
          </cell>
        </row>
        <row r="229">
          <cell r="A229" t="str">
            <v>HEXAGON NUT</v>
          </cell>
          <cell r="B229" t="str">
            <v>000220</v>
          </cell>
          <cell r="C229" t="str">
            <v>PCS</v>
          </cell>
          <cell r="D229" t="str">
            <v>C62</v>
          </cell>
        </row>
        <row r="230">
          <cell r="A230" t="str">
            <v>IRON PIPE</v>
          </cell>
          <cell r="B230" t="str">
            <v>000221</v>
          </cell>
          <cell r="C230" t="str">
            <v>MTR</v>
          </cell>
          <cell r="D230" t="str">
            <v>MTR</v>
          </cell>
        </row>
        <row r="231">
          <cell r="A231" t="str">
            <v>NYLON PIPE</v>
          </cell>
          <cell r="B231" t="str">
            <v>000222</v>
          </cell>
          <cell r="C231" t="str">
            <v>MTR</v>
          </cell>
          <cell r="D231" t="str">
            <v>MTR</v>
          </cell>
        </row>
        <row r="232">
          <cell r="A232" t="str">
            <v>PARALLEL PIN</v>
          </cell>
          <cell r="B232" t="str">
            <v>000223</v>
          </cell>
          <cell r="C232" t="str">
            <v>PCS</v>
          </cell>
          <cell r="D232" t="str">
            <v>C62</v>
          </cell>
        </row>
        <row r="233">
          <cell r="A233" t="str">
            <v>PUSH BARB CABLE TIE MOUNTS</v>
          </cell>
          <cell r="B233" t="str">
            <v>000224</v>
          </cell>
          <cell r="C233" t="str">
            <v>PCS</v>
          </cell>
          <cell r="D233" t="str">
            <v>C62</v>
          </cell>
        </row>
        <row r="234">
          <cell r="A234" t="str">
            <v>SOCKET BUTTON HEAD</v>
          </cell>
          <cell r="B234" t="str">
            <v>000225</v>
          </cell>
          <cell r="C234" t="str">
            <v>PCS</v>
          </cell>
          <cell r="D234" t="str">
            <v>C62</v>
          </cell>
        </row>
        <row r="235">
          <cell r="A235" t="str">
            <v>SOLENOID VALVE</v>
          </cell>
          <cell r="B235" t="str">
            <v>000226</v>
          </cell>
          <cell r="C235" t="str">
            <v>PCS</v>
          </cell>
          <cell r="D235" t="str">
            <v>C62</v>
          </cell>
        </row>
        <row r="236">
          <cell r="A236" t="str">
            <v>SHEET</v>
          </cell>
          <cell r="B236" t="str">
            <v>000227</v>
          </cell>
          <cell r="C236" t="str">
            <v>PCS</v>
          </cell>
          <cell r="D236" t="str">
            <v>C62</v>
          </cell>
        </row>
        <row r="237">
          <cell r="A237" t="str">
            <v>WASHER</v>
          </cell>
          <cell r="B237" t="str">
            <v>000228</v>
          </cell>
          <cell r="C237" t="str">
            <v>PCS</v>
          </cell>
          <cell r="D237" t="str">
            <v>C62</v>
          </cell>
        </row>
        <row r="238">
          <cell r="A238" t="str">
            <v>MARK</v>
          </cell>
          <cell r="B238" t="str">
            <v>000229</v>
          </cell>
          <cell r="C238" t="str">
            <v>PCS</v>
          </cell>
          <cell r="D238" t="str">
            <v>C62</v>
          </cell>
        </row>
        <row r="239">
          <cell r="A239" t="str">
            <v>SPRING</v>
          </cell>
          <cell r="B239" t="str">
            <v>000230</v>
          </cell>
          <cell r="C239" t="str">
            <v>PCS</v>
          </cell>
          <cell r="D239" t="str">
            <v>C62</v>
          </cell>
        </row>
        <row r="240">
          <cell r="A240" t="str">
            <v>BACK 4-SLEEVE HOLDER</v>
          </cell>
          <cell r="B240" t="str">
            <v>000231</v>
          </cell>
          <cell r="C240" t="str">
            <v>PCS</v>
          </cell>
          <cell r="D240" t="str">
            <v>C62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"/>
      <sheetName val="IV"/>
      <sheetName val="IV (2)"/>
      <sheetName val="PL"/>
      <sheetName val="Sheet1"/>
    </sheetNames>
    <sheetDataSet>
      <sheetData sheetId="0" refreshError="1"/>
      <sheetData sheetId="1" refreshError="1">
        <row r="21">
          <cell r="B21" t="str">
            <v>618-081-4C</v>
          </cell>
          <cell r="C21" t="str">
            <v>BODY</v>
          </cell>
        </row>
        <row r="22">
          <cell r="B22" t="str">
            <v>618-084-12</v>
          </cell>
          <cell r="C22" t="str">
            <v>BED</v>
          </cell>
        </row>
        <row r="23">
          <cell r="B23" t="str">
            <v>618-087-2C</v>
          </cell>
          <cell r="C23" t="str">
            <v>BED</v>
          </cell>
        </row>
        <row r="24">
          <cell r="B24" t="str">
            <v>618-1001-4C</v>
          </cell>
          <cell r="C24" t="str">
            <v>BED</v>
          </cell>
        </row>
        <row r="25">
          <cell r="B25" t="str">
            <v>615-464-2C</v>
          </cell>
          <cell r="C25" t="str">
            <v>X-SLIDE</v>
          </cell>
        </row>
        <row r="26">
          <cell r="B26" t="str">
            <v>614-290C</v>
          </cell>
          <cell r="C26" t="str">
            <v>LEVER BRACKET</v>
          </cell>
        </row>
        <row r="27">
          <cell r="B27" t="str">
            <v>613-238-2C</v>
          </cell>
          <cell r="C27" t="str">
            <v>MOTOR BRACKET</v>
          </cell>
        </row>
        <row r="28">
          <cell r="B28" t="str">
            <v>616-385C</v>
          </cell>
          <cell r="C28" t="str">
            <v>BRACKET</v>
          </cell>
        </row>
        <row r="29">
          <cell r="B29" t="str">
            <v>615-467-1C</v>
          </cell>
          <cell r="C29" t="str">
            <v>BRACKET</v>
          </cell>
        </row>
        <row r="30">
          <cell r="B30" t="str">
            <v>614-285-2C</v>
          </cell>
          <cell r="C30" t="str">
            <v>Z2 SLIDE</v>
          </cell>
        </row>
        <row r="31">
          <cell r="B31" t="str">
            <v>614-220C</v>
          </cell>
          <cell r="C31" t="str">
            <v>CHUCKING LEVER</v>
          </cell>
        </row>
        <row r="32">
          <cell r="B32" t="str">
            <v>616-387-3C</v>
          </cell>
          <cell r="C32" t="str">
            <v>CROSS SLIDE</v>
          </cell>
        </row>
        <row r="33">
          <cell r="B33" t="str">
            <v>617-112-1C</v>
          </cell>
          <cell r="C33" t="str">
            <v>TOOL POST</v>
          </cell>
        </row>
        <row r="34">
          <cell r="B34" t="str">
            <v>613-256-2C</v>
          </cell>
          <cell r="C34" t="str">
            <v>MOTOR BRACKET</v>
          </cell>
        </row>
        <row r="35">
          <cell r="B35" t="str">
            <v>615-470C</v>
          </cell>
          <cell r="C35" t="str">
            <v>BRACKET</v>
          </cell>
        </row>
        <row r="36">
          <cell r="B36" t="str">
            <v>642-125C</v>
          </cell>
          <cell r="C36" t="str">
            <v>SLEEVE HOLDER</v>
          </cell>
        </row>
        <row r="37">
          <cell r="B37" t="str">
            <v>615-465C</v>
          </cell>
          <cell r="C37" t="str">
            <v>SLEEVE HOLDER</v>
          </cell>
        </row>
        <row r="38">
          <cell r="B38" t="str">
            <v>615-408-1C</v>
          </cell>
          <cell r="C38" t="str">
            <v>HEAD STOCK</v>
          </cell>
        </row>
        <row r="39">
          <cell r="B39" t="str">
            <v>617-117-16A</v>
          </cell>
          <cell r="C39" t="str">
            <v>TOOL POST</v>
          </cell>
        </row>
        <row r="40">
          <cell r="B40" t="str">
            <v>617-116-2C</v>
          </cell>
          <cell r="C40" t="str">
            <v>CROSS SLIDE</v>
          </cell>
        </row>
        <row r="41">
          <cell r="B41" t="str">
            <v>617-116-8A</v>
          </cell>
          <cell r="C41" t="str">
            <v>CROSS SLIDE</v>
          </cell>
        </row>
        <row r="42">
          <cell r="B42" t="str">
            <v>614-291-1C</v>
          </cell>
          <cell r="C42" t="str">
            <v>GUIDE BUSH</v>
          </cell>
        </row>
        <row r="43">
          <cell r="B43" t="str">
            <v>615-486-12A</v>
          </cell>
          <cell r="C43" t="str">
            <v>X-SLIDE</v>
          </cell>
        </row>
        <row r="44">
          <cell r="B44" t="str">
            <v>617-118-2C</v>
          </cell>
          <cell r="C44" t="str">
            <v>CROSS SLIDE</v>
          </cell>
        </row>
        <row r="45">
          <cell r="B45" t="str">
            <v>616-413-1C</v>
          </cell>
          <cell r="C45" t="str">
            <v>HEAD STOCK</v>
          </cell>
        </row>
        <row r="46">
          <cell r="B46" t="str">
            <v>616-413-3A</v>
          </cell>
          <cell r="C46" t="str">
            <v>HEAD STOCK</v>
          </cell>
        </row>
        <row r="47">
          <cell r="B47" t="str">
            <v>615-478C</v>
          </cell>
          <cell r="C47" t="str">
            <v>CROSS SLIDE</v>
          </cell>
        </row>
        <row r="48">
          <cell r="B48" t="str">
            <v>615-478-4A</v>
          </cell>
          <cell r="C48" t="str">
            <v>CROSS SLIDE</v>
          </cell>
        </row>
        <row r="49">
          <cell r="B49" t="str">
            <v>615-511-5A</v>
          </cell>
          <cell r="C49" t="str">
            <v>Y-SLIDE</v>
          </cell>
        </row>
        <row r="50">
          <cell r="B50" t="str">
            <v>615-484-3A</v>
          </cell>
          <cell r="C50" t="str">
            <v>Z2 SLIDE</v>
          </cell>
        </row>
        <row r="51">
          <cell r="B51" t="str">
            <v>615-507-2C</v>
          </cell>
          <cell r="C51" t="str">
            <v>HEAD STOCK</v>
          </cell>
        </row>
        <row r="52">
          <cell r="B52" t="str">
            <v>616-354-3C</v>
          </cell>
          <cell r="C52" t="str">
            <v>Y-SLIDE</v>
          </cell>
        </row>
        <row r="53">
          <cell r="B53" t="str">
            <v>615-509-4A</v>
          </cell>
          <cell r="C53" t="str">
            <v>HEAD STOCK</v>
          </cell>
        </row>
        <row r="54">
          <cell r="B54" t="str">
            <v>616-432-6A</v>
          </cell>
          <cell r="C54" t="str">
            <v>X-SLIDE</v>
          </cell>
        </row>
        <row r="55">
          <cell r="B55" t="str">
            <v>616-398-4A</v>
          </cell>
          <cell r="C55" t="str">
            <v>CROSS SLIDE</v>
          </cell>
        </row>
        <row r="56">
          <cell r="B56" t="str">
            <v>615-510A</v>
          </cell>
          <cell r="C56" t="str">
            <v>HEAD STOCK</v>
          </cell>
        </row>
        <row r="57">
          <cell r="B57" t="str">
            <v>615-480-2</v>
          </cell>
          <cell r="C57" t="str">
            <v>HEAD STOCK</v>
          </cell>
        </row>
        <row r="58">
          <cell r="B58" t="str">
            <v>615-479C</v>
          </cell>
          <cell r="C58" t="str">
            <v>BRACKET</v>
          </cell>
        </row>
        <row r="59">
          <cell r="B59" t="str">
            <v>615-481C</v>
          </cell>
          <cell r="C59" t="str">
            <v>CHUCKING LEVER</v>
          </cell>
        </row>
        <row r="60">
          <cell r="B60" t="str">
            <v>616-396-2C</v>
          </cell>
          <cell r="C60" t="str">
            <v>BRACKET</v>
          </cell>
        </row>
        <row r="61">
          <cell r="B61" t="str">
            <v>613-242C</v>
          </cell>
          <cell r="C61" t="str">
            <v>BLOCK</v>
          </cell>
        </row>
        <row r="62">
          <cell r="B62" t="str">
            <v>616-301-1C</v>
          </cell>
          <cell r="C62" t="str">
            <v>SLEEVE HOLDER</v>
          </cell>
        </row>
        <row r="63">
          <cell r="B63" t="str">
            <v>616-416-5A</v>
          </cell>
          <cell r="C63" t="str">
            <v>HEAD STOCK</v>
          </cell>
        </row>
        <row r="64">
          <cell r="B64" t="str">
            <v>615-521-1C</v>
          </cell>
          <cell r="C64" t="str">
            <v>HEAD STOCK</v>
          </cell>
        </row>
        <row r="65">
          <cell r="B65" t="str">
            <v>617-130-2C</v>
          </cell>
          <cell r="C65" t="str">
            <v>TOOL POST</v>
          </cell>
        </row>
        <row r="66">
          <cell r="B66" t="str">
            <v>617-130-2C</v>
          </cell>
          <cell r="C66" t="str">
            <v>TOOL POST</v>
          </cell>
        </row>
        <row r="67">
          <cell r="B67" t="str">
            <v>615-516-1C</v>
          </cell>
          <cell r="C67" t="str">
            <v>GUIDE BUSH BASE</v>
          </cell>
        </row>
        <row r="68">
          <cell r="B68" t="str">
            <v>616-419-5A</v>
          </cell>
          <cell r="C68" t="str">
            <v>X-SLIDE</v>
          </cell>
        </row>
        <row r="69">
          <cell r="B69" t="str">
            <v>616-0015-1C</v>
          </cell>
          <cell r="C69" t="str">
            <v>CROSS SLIDE</v>
          </cell>
        </row>
        <row r="70">
          <cell r="B70" t="str">
            <v>616-425-2C</v>
          </cell>
          <cell r="C70" t="str">
            <v>Y-SLIDE</v>
          </cell>
        </row>
        <row r="71">
          <cell r="B71" t="str">
            <v>615-425-6A</v>
          </cell>
          <cell r="C71" t="str">
            <v>MOTOR HOUSING</v>
          </cell>
        </row>
        <row r="72">
          <cell r="B72" t="str">
            <v>617-129-1C</v>
          </cell>
          <cell r="C72" t="str">
            <v>CROSS SLIDE</v>
          </cell>
        </row>
        <row r="73">
          <cell r="B73" t="str">
            <v>615-423-1C</v>
          </cell>
          <cell r="C73" t="str">
            <v>CHUCKING LEVER</v>
          </cell>
        </row>
        <row r="74">
          <cell r="B74" t="str">
            <v>615-426-2C</v>
          </cell>
          <cell r="C74" t="str">
            <v>CHUCKING LEVER</v>
          </cell>
        </row>
        <row r="75">
          <cell r="B75" t="str">
            <v>617-0011-1C</v>
          </cell>
          <cell r="C75" t="str">
            <v>TOOL POST</v>
          </cell>
        </row>
        <row r="76">
          <cell r="B76" t="str">
            <v>616-0019C</v>
          </cell>
          <cell r="C76" t="str">
            <v>CROSS SLIDE</v>
          </cell>
        </row>
        <row r="77">
          <cell r="B77" t="str">
            <v>616-1001-1C</v>
          </cell>
          <cell r="C77" t="str">
            <v>CROSS SLIDE</v>
          </cell>
        </row>
        <row r="78">
          <cell r="B78" t="str">
            <v>616-1002C</v>
          </cell>
          <cell r="C78" t="str">
            <v>SLIDE BASE</v>
          </cell>
        </row>
        <row r="79">
          <cell r="B79" t="str">
            <v>615-1002C</v>
          </cell>
          <cell r="C79" t="str">
            <v>Z2 SLIDE</v>
          </cell>
        </row>
        <row r="80">
          <cell r="B80" t="str">
            <v>615-1003-1C</v>
          </cell>
          <cell r="C80" t="str">
            <v>HEAD STOCK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"/>
      <sheetName val="IV"/>
      <sheetName val="PL"/>
      <sheetName val="Sheet1"/>
    </sheetNames>
    <sheetDataSet>
      <sheetData sheetId="0"/>
      <sheetData sheetId="1">
        <row r="20">
          <cell r="A20" t="str">
            <v>PARTS FOR CNC AUTOMATIC LATHE.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A0CAB1-EB37-4E89-8D9A-1A0DB139D90A}" name="Table2" displayName="Table2" ref="K2:O124" totalsRowShown="0" dataDxfId="11">
  <autoFilter ref="K2:O124" xr:uid="{00000000-0009-0000-0100-000002000000}"/>
  <tableColumns count="5">
    <tableColumn id="1" xr3:uid="{8395C3CA-BADF-441C-9A69-D4FE792096CE}" name="ใส่ข้อมูล" dataDxfId="10"/>
    <tableColumn id="2" xr3:uid="{920403AC-9ADD-43BE-95EC-A158085ECC03}" name="ผลลัพธ์" dataDxfId="9">
      <calculatedColumnFormula>VLOOKUP(K3,C:F,2,0)</calculatedColumnFormula>
    </tableColumn>
    <tableColumn id="3" xr3:uid="{4D57C213-E8ED-4379-B9F1-E9CCA9624A35}" name="UOM" dataDxfId="8">
      <calculatedColumnFormula>VLOOKUP(L3,D:G,4,0)</calculatedColumnFormula>
    </tableColumn>
    <tableColumn id="4" xr3:uid="{39B98539-C599-4AC4-A43C-9D96DA0C352A}" name="Group_No" dataDxfId="7">
      <calculatedColumnFormula>VLOOKUP(L3,D:H,2,0)</calculatedColumnFormula>
    </tableColumn>
    <tableColumn id="5" xr3:uid="{BA97C38F-EECD-4126-8D55-AB0A216B4E00}" name="Column1" dataDxfId="6">
      <calculatedColumnFormula>ROW(O1)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499"/>
  <sheetViews>
    <sheetView view="pageBreakPreview" topLeftCell="A10" zoomScale="115" zoomScaleNormal="115" zoomScaleSheetLayoutView="115" workbookViewId="0">
      <selection activeCell="R18" sqref="R18"/>
    </sheetView>
  </sheetViews>
  <sheetFormatPr defaultColWidth="9.109375" defaultRowHeight="18"/>
  <cols>
    <col min="1" max="1" width="4.88671875" style="3" customWidth="1"/>
    <col min="2" max="2" width="10.44140625" style="274" customWidth="1"/>
    <col min="3" max="3" width="15.5546875" style="3" customWidth="1"/>
    <col min="4" max="4" width="26.33203125" style="3" customWidth="1"/>
    <col min="5" max="5" width="17.109375" style="3" customWidth="1"/>
    <col min="6" max="6" width="7.88671875" style="3" customWidth="1"/>
    <col min="7" max="7" width="6" style="3" customWidth="1"/>
    <col min="8" max="8" width="11.5546875" style="21" customWidth="1"/>
    <col min="9" max="9" width="16.6640625" style="3" customWidth="1"/>
    <col min="10" max="10" width="12.33203125" style="6" hidden="1" customWidth="1"/>
    <col min="11" max="11" width="14" style="4" hidden="1" customWidth="1"/>
    <col min="12" max="12" width="14.88671875" style="5" hidden="1" customWidth="1"/>
    <col min="13" max="13" width="13.5546875" style="6" hidden="1" customWidth="1"/>
    <col min="14" max="14" width="9.109375" style="6" hidden="1" customWidth="1"/>
    <col min="15" max="15" width="13.44140625" style="6" hidden="1" customWidth="1"/>
    <col min="16" max="17" width="9.109375" style="6" hidden="1" customWidth="1"/>
    <col min="18" max="22" width="9.109375" style="6" customWidth="1"/>
    <col min="23" max="23" width="13.5546875" style="6" customWidth="1"/>
    <col min="24" max="26" width="9.109375" style="6" customWidth="1"/>
    <col min="27" max="27" width="14.44140625" style="3" customWidth="1"/>
    <col min="28" max="30" width="9.109375" style="3" customWidth="1"/>
    <col min="31" max="16384" width="9.109375" style="3"/>
  </cols>
  <sheetData>
    <row r="1" spans="1:26">
      <c r="A1" s="1" t="s">
        <v>20</v>
      </c>
      <c r="B1" s="259"/>
      <c r="C1" s="1"/>
      <c r="E1" s="2"/>
      <c r="F1" s="2"/>
      <c r="G1" s="2"/>
      <c r="H1" s="2"/>
      <c r="I1" s="2"/>
      <c r="J1" s="2"/>
    </row>
    <row r="2" spans="1:26" s="59" customFormat="1" ht="17.399999999999999">
      <c r="A2" s="57" t="s">
        <v>81</v>
      </c>
      <c r="B2" s="260"/>
      <c r="C2" s="57"/>
      <c r="E2" s="60"/>
      <c r="F2" s="60"/>
      <c r="G2" s="60"/>
      <c r="H2" s="60"/>
      <c r="I2" s="60"/>
      <c r="J2" s="61"/>
      <c r="K2" s="62"/>
      <c r="L2" s="63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s="59" customFormat="1" ht="17.399999999999999">
      <c r="A3" s="57" t="s">
        <v>80</v>
      </c>
      <c r="B3" s="130"/>
      <c r="C3" s="57"/>
      <c r="E3" s="60"/>
      <c r="F3" s="60"/>
      <c r="G3" s="60"/>
      <c r="H3" s="60"/>
      <c r="I3" s="60"/>
      <c r="J3" s="61"/>
      <c r="K3" s="62"/>
      <c r="L3" s="63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s="59" customFormat="1" thickBot="1">
      <c r="A4" s="64" t="s">
        <v>65</v>
      </c>
      <c r="B4" s="132"/>
      <c r="C4" s="64"/>
      <c r="D4" s="66"/>
      <c r="E4" s="65"/>
      <c r="F4" s="65"/>
      <c r="G4" s="65"/>
      <c r="H4" s="65"/>
      <c r="I4" s="65"/>
      <c r="J4" s="61"/>
      <c r="K4" s="62"/>
      <c r="L4" s="63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24" thickTop="1">
      <c r="A5" s="366" t="s">
        <v>22</v>
      </c>
      <c r="B5" s="366"/>
      <c r="C5" s="366"/>
      <c r="D5" s="366"/>
      <c r="E5" s="366"/>
      <c r="F5" s="366"/>
      <c r="G5" s="366"/>
      <c r="H5" s="366"/>
      <c r="I5" s="366"/>
    </row>
    <row r="6" spans="1:26" ht="4.5" customHeight="1">
      <c r="B6" s="261"/>
      <c r="C6" s="10"/>
      <c r="D6" s="10"/>
      <c r="E6" s="10"/>
      <c r="F6" s="10"/>
      <c r="G6" s="10"/>
      <c r="H6" s="11"/>
      <c r="I6" s="10"/>
    </row>
    <row r="7" spans="1:26">
      <c r="B7" s="262"/>
      <c r="C7" s="12" t="s">
        <v>0</v>
      </c>
      <c r="D7" s="2" t="s">
        <v>19</v>
      </c>
      <c r="H7" s="3"/>
    </row>
    <row r="8" spans="1:26" s="59" customFormat="1" ht="17.399999999999999">
      <c r="B8" s="129"/>
      <c r="D8" s="57" t="s">
        <v>91</v>
      </c>
      <c r="E8" s="67"/>
      <c r="H8" s="68"/>
      <c r="I8" s="69"/>
      <c r="K8" s="62"/>
      <c r="L8" s="63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s="59" customFormat="1" ht="17.399999999999999">
      <c r="B9" s="263"/>
      <c r="D9" s="59" t="s">
        <v>106</v>
      </c>
      <c r="H9" s="70"/>
      <c r="I9" s="71"/>
      <c r="K9" s="62"/>
      <c r="L9" s="63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s="59" customFormat="1" ht="17.399999999999999">
      <c r="B10" s="263"/>
      <c r="D10" s="72" t="s">
        <v>122</v>
      </c>
      <c r="H10" s="68"/>
      <c r="I10" s="73"/>
      <c r="K10" s="62"/>
      <c r="L10" s="63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s="59" customFormat="1" ht="17.399999999999999">
      <c r="B11" s="263"/>
      <c r="D11" s="59" t="s">
        <v>39</v>
      </c>
      <c r="E11" s="59" t="s">
        <v>40</v>
      </c>
      <c r="K11" s="62"/>
      <c r="L11" s="63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s="59" customFormat="1" ht="6" hidden="1" customHeight="1">
      <c r="B12" s="129"/>
      <c r="K12" s="62"/>
      <c r="L12" s="63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s="59" customFormat="1" ht="17.399999999999999">
      <c r="B13" s="129"/>
      <c r="D13" s="59" t="s">
        <v>56</v>
      </c>
      <c r="E13" s="204" t="s">
        <v>236</v>
      </c>
      <c r="G13" s="74"/>
      <c r="H13" s="70"/>
      <c r="J13" s="61"/>
      <c r="K13" s="62"/>
      <c r="L13" s="63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s="59" customFormat="1" ht="17.399999999999999">
      <c r="B14" s="129"/>
      <c r="D14" s="59" t="s">
        <v>57</v>
      </c>
      <c r="E14" s="204" t="s">
        <v>198</v>
      </c>
      <c r="H14" s="75"/>
      <c r="I14" s="76"/>
      <c r="J14" s="61"/>
      <c r="K14" s="62"/>
      <c r="L14" s="63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s="59" customFormat="1" ht="2.25" customHeight="1">
      <c r="B15" s="129"/>
      <c r="H15" s="70"/>
      <c r="J15" s="61"/>
      <c r="K15" s="62"/>
      <c r="L15" s="63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s="59" customFormat="1" ht="17.399999999999999">
      <c r="B16" s="129"/>
      <c r="D16" s="59" t="s">
        <v>58</v>
      </c>
      <c r="E16" s="129" t="s">
        <v>29</v>
      </c>
      <c r="H16" s="70"/>
      <c r="J16" s="61"/>
      <c r="K16" s="62"/>
      <c r="L16" s="63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8" s="59" customFormat="1" ht="17.399999999999999">
      <c r="B17" s="129"/>
      <c r="D17" s="59" t="s">
        <v>59</v>
      </c>
      <c r="E17" s="77" t="str">
        <f>IF(E16="Ocean freight","CIF Laem Chabang, Thailand","FCA Hanoi")</f>
        <v>CIF Laem Chabang, Thailand</v>
      </c>
      <c r="H17" s="70"/>
      <c r="J17" s="61"/>
      <c r="K17" s="62" t="s">
        <v>130</v>
      </c>
      <c r="L17" s="63" t="s">
        <v>131</v>
      </c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8" s="59" customFormat="1" ht="17.399999999999999">
      <c r="B18" s="129"/>
      <c r="D18" s="59" t="s">
        <v>60</v>
      </c>
      <c r="E18" s="59" t="str">
        <f>CONCATENATE("On or about ",L18,L19,"",L20)</f>
        <v>On or about August 23rd 2026</v>
      </c>
      <c r="H18" s="70"/>
      <c r="J18" s="61"/>
      <c r="K18" s="78" t="s">
        <v>175</v>
      </c>
      <c r="L18" s="78" t="s">
        <v>163</v>
      </c>
      <c r="M18" s="79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8" s="59" customFormat="1" ht="17.399999999999999">
      <c r="B19" s="129"/>
      <c r="D19" s="59" t="s">
        <v>61</v>
      </c>
      <c r="E19" s="59" t="s">
        <v>33</v>
      </c>
      <c r="G19" s="80"/>
      <c r="H19" s="70"/>
      <c r="J19" s="61"/>
      <c r="K19" s="81" t="s">
        <v>212</v>
      </c>
      <c r="L19" s="81" t="s">
        <v>213</v>
      </c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8" s="59" customFormat="1" ht="17.399999999999999">
      <c r="B20" s="129"/>
      <c r="D20" s="59" t="s">
        <v>43</v>
      </c>
      <c r="E20" s="59" t="s">
        <v>1</v>
      </c>
      <c r="H20" s="70"/>
      <c r="J20" s="61"/>
      <c r="K20" s="82">
        <v>2026</v>
      </c>
      <c r="L20" s="82">
        <v>2026</v>
      </c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8" s="59" customFormat="1" ht="17.399999999999999">
      <c r="B21" s="129"/>
      <c r="D21" s="59" t="s">
        <v>62</v>
      </c>
      <c r="E21" s="59" t="s">
        <v>30</v>
      </c>
      <c r="H21" s="70"/>
      <c r="J21" s="61"/>
      <c r="K21" s="83"/>
      <c r="L21" s="83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8" s="90" customFormat="1" thickBot="1">
      <c r="A22" s="84"/>
      <c r="B22" s="264"/>
      <c r="C22" s="367" t="s">
        <v>50</v>
      </c>
      <c r="D22" s="367"/>
      <c r="E22" s="367"/>
      <c r="F22" s="367"/>
      <c r="G22" s="84"/>
      <c r="H22" s="85"/>
      <c r="I22" s="84"/>
      <c r="J22" s="86"/>
      <c r="K22" s="87"/>
      <c r="L22" s="88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8" s="90" customFormat="1" thickTop="1">
      <c r="A23" s="372" t="s">
        <v>2</v>
      </c>
      <c r="B23" s="369"/>
      <c r="C23" s="369"/>
      <c r="D23" s="369"/>
      <c r="E23" s="91"/>
      <c r="F23" s="369" t="s">
        <v>3</v>
      </c>
      <c r="G23" s="369"/>
      <c r="H23" s="92" t="s">
        <v>36</v>
      </c>
      <c r="I23" s="93" t="s">
        <v>4</v>
      </c>
      <c r="K23" s="87"/>
      <c r="L23" s="88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spans="1:28" s="80" customFormat="1" ht="17.399999999999999">
      <c r="A24" s="94"/>
      <c r="B24" s="265" t="s">
        <v>5</v>
      </c>
      <c r="C24" s="95"/>
      <c r="D24" s="96" t="s">
        <v>6</v>
      </c>
      <c r="E24" s="96" t="s">
        <v>42</v>
      </c>
      <c r="F24" s="96"/>
      <c r="G24" s="96"/>
      <c r="H24" s="96"/>
      <c r="I24" s="97"/>
      <c r="J24" s="98"/>
      <c r="K24" s="99"/>
      <c r="L24" s="100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spans="1:28" s="59" customFormat="1" ht="17.399999999999999">
      <c r="A25" s="241">
        <v>1</v>
      </c>
      <c r="B25" s="288" t="s">
        <v>134</v>
      </c>
      <c r="C25" s="293" t="s">
        <v>98</v>
      </c>
      <c r="D25" s="145" t="s">
        <v>283</v>
      </c>
      <c r="E25" s="247">
        <v>112603655</v>
      </c>
      <c r="F25" s="248">
        <v>5</v>
      </c>
      <c r="G25" s="101" t="s">
        <v>7</v>
      </c>
      <c r="H25" s="102">
        <v>255935</v>
      </c>
      <c r="I25" s="189">
        <f t="shared" ref="I25:I81" si="0">IF(ISERROR(H25*F25),"",(F25*H25))</f>
        <v>1279675</v>
      </c>
      <c r="J25" s="24">
        <v>872</v>
      </c>
      <c r="K25" s="103">
        <f>J25*F25</f>
        <v>4360</v>
      </c>
      <c r="L25" s="242"/>
      <c r="M25" s="214"/>
      <c r="N25" s="214">
        <f>VLOOKUP(C25,'[5]CMA Change 1 Coating Paint'!$C$20:$J$148,8,0)</f>
        <v>255935</v>
      </c>
      <c r="O25" s="59">
        <f>H25-N25</f>
        <v>0</v>
      </c>
      <c r="W25" s="59">
        <f>H25-L25</f>
        <v>255935</v>
      </c>
    </row>
    <row r="26" spans="1:28" s="215" customFormat="1" ht="17.399999999999999">
      <c r="A26" s="241">
        <f>A25+1</f>
        <v>2</v>
      </c>
      <c r="B26" s="288" t="s">
        <v>153</v>
      </c>
      <c r="C26" s="293" t="s">
        <v>102</v>
      </c>
      <c r="D26" s="145" t="s">
        <v>284</v>
      </c>
      <c r="E26" s="247">
        <v>112603649</v>
      </c>
      <c r="F26" s="248">
        <v>3</v>
      </c>
      <c r="G26" s="101" t="s">
        <v>7</v>
      </c>
      <c r="H26" s="102">
        <v>315980</v>
      </c>
      <c r="I26" s="189">
        <f t="shared" si="0"/>
        <v>947940</v>
      </c>
      <c r="J26" s="24">
        <v>1170</v>
      </c>
      <c r="K26" s="103">
        <f t="shared" ref="K26:K81" si="1">J26*F26</f>
        <v>3510</v>
      </c>
      <c r="L26" s="242"/>
      <c r="M26" s="214"/>
      <c r="N26" s="214">
        <f>VLOOKUP(C26,'[5]CMA Change 1 Coating Paint'!$C$20:$J$148,8,0)</f>
        <v>315980</v>
      </c>
      <c r="O26" s="59">
        <f t="shared" ref="O26:O81" si="2">H26-N26</f>
        <v>0</v>
      </c>
      <c r="W26" s="59">
        <f t="shared" ref="W26:W32" si="3">H26-L26</f>
        <v>315980</v>
      </c>
      <c r="AA26" s="59"/>
      <c r="AB26" s="59"/>
    </row>
    <row r="27" spans="1:28" s="59" customFormat="1" ht="17.399999999999999">
      <c r="A27" s="241">
        <f t="shared" ref="A27:A81" si="4">A26+1</f>
        <v>3</v>
      </c>
      <c r="B27" s="288" t="s">
        <v>132</v>
      </c>
      <c r="C27" s="293" t="s">
        <v>97</v>
      </c>
      <c r="D27" s="145" t="s">
        <v>284</v>
      </c>
      <c r="E27" s="247">
        <v>112602255</v>
      </c>
      <c r="F27" s="248">
        <v>8</v>
      </c>
      <c r="G27" s="101" t="s">
        <v>7</v>
      </c>
      <c r="H27" s="102">
        <v>410206</v>
      </c>
      <c r="I27" s="189">
        <f t="shared" si="0"/>
        <v>3281648</v>
      </c>
      <c r="J27" s="24">
        <v>1170</v>
      </c>
      <c r="K27" s="103">
        <f t="shared" si="1"/>
        <v>9360</v>
      </c>
      <c r="L27" s="242"/>
      <c r="M27" s="214"/>
      <c r="N27" s="214" t="e">
        <f>VLOOKUP(C27,'[5]CMA Change 1 Coating Paint'!$C$20:$J$148,8,0)</f>
        <v>#N/A</v>
      </c>
      <c r="O27" s="59" t="e">
        <f t="shared" si="2"/>
        <v>#N/A</v>
      </c>
      <c r="W27" s="59">
        <f t="shared" si="3"/>
        <v>410206</v>
      </c>
    </row>
    <row r="28" spans="1:28" s="59" customFormat="1" ht="17.399999999999999">
      <c r="A28" s="241">
        <f t="shared" si="4"/>
        <v>4</v>
      </c>
      <c r="B28" s="288" t="s">
        <v>181</v>
      </c>
      <c r="C28" s="293" t="s">
        <v>99</v>
      </c>
      <c r="D28" s="145" t="s">
        <v>285</v>
      </c>
      <c r="E28" s="247">
        <v>112603639</v>
      </c>
      <c r="F28" s="248">
        <v>2</v>
      </c>
      <c r="G28" s="101" t="s">
        <v>7</v>
      </c>
      <c r="H28" s="102">
        <v>408610</v>
      </c>
      <c r="I28" s="189">
        <f t="shared" si="0"/>
        <v>817220</v>
      </c>
      <c r="J28" s="24">
        <v>1375</v>
      </c>
      <c r="K28" s="103">
        <f t="shared" si="1"/>
        <v>2750</v>
      </c>
      <c r="L28" s="242"/>
      <c r="M28" s="214"/>
      <c r="N28" s="214">
        <f>VLOOKUP(C28,'[5]CMA Change 1 Coating Paint'!$C$20:$J$148,8,0)</f>
        <v>408610</v>
      </c>
      <c r="O28" s="59">
        <f t="shared" si="2"/>
        <v>0</v>
      </c>
      <c r="W28" s="59">
        <f t="shared" si="3"/>
        <v>408610</v>
      </c>
    </row>
    <row r="29" spans="1:28" s="59" customFormat="1" ht="17.399999999999999">
      <c r="A29" s="241">
        <f t="shared" si="4"/>
        <v>5</v>
      </c>
      <c r="B29" s="288" t="s">
        <v>160</v>
      </c>
      <c r="C29" s="293" t="s">
        <v>100</v>
      </c>
      <c r="D29" s="145" t="s">
        <v>286</v>
      </c>
      <c r="E29" s="247">
        <v>112603649</v>
      </c>
      <c r="F29" s="248">
        <v>7</v>
      </c>
      <c r="G29" s="101" t="s">
        <v>7</v>
      </c>
      <c r="H29" s="102">
        <v>341932</v>
      </c>
      <c r="I29" s="189">
        <f t="shared" si="0"/>
        <v>2393524</v>
      </c>
      <c r="J29" s="24">
        <v>1165</v>
      </c>
      <c r="K29" s="103">
        <f t="shared" si="1"/>
        <v>8155</v>
      </c>
      <c r="L29" s="243"/>
      <c r="M29" s="214"/>
      <c r="N29" s="214">
        <f>VLOOKUP(C29,'[5]CMA Change 1 Coating Paint'!$C$20:$J$148,8,0)</f>
        <v>341932</v>
      </c>
      <c r="O29" s="59">
        <f t="shared" si="2"/>
        <v>0</v>
      </c>
      <c r="W29" s="59">
        <f t="shared" si="3"/>
        <v>341932</v>
      </c>
    </row>
    <row r="30" spans="1:28" s="59" customFormat="1" ht="17.399999999999999">
      <c r="A30" s="241">
        <f t="shared" si="4"/>
        <v>6</v>
      </c>
      <c r="B30" s="288" t="s">
        <v>154</v>
      </c>
      <c r="C30" s="293" t="s">
        <v>260</v>
      </c>
      <c r="D30" s="145" t="s">
        <v>287</v>
      </c>
      <c r="E30" s="247" t="s">
        <v>225</v>
      </c>
      <c r="F30" s="248">
        <v>8</v>
      </c>
      <c r="G30" s="101" t="s">
        <v>7</v>
      </c>
      <c r="H30" s="102">
        <v>208338</v>
      </c>
      <c r="I30" s="189">
        <f t="shared" si="0"/>
        <v>1666704</v>
      </c>
      <c r="J30" s="24">
        <v>590</v>
      </c>
      <c r="K30" s="103">
        <f t="shared" si="1"/>
        <v>4720</v>
      </c>
      <c r="L30" s="242"/>
      <c r="M30" s="214"/>
      <c r="N30" s="214" t="e">
        <f>VLOOKUP(C30,'[5]CMA Change 1 Coating Paint'!$C$20:$J$148,8,0)</f>
        <v>#N/A</v>
      </c>
      <c r="O30" s="59" t="e">
        <f t="shared" si="2"/>
        <v>#N/A</v>
      </c>
    </row>
    <row r="31" spans="1:28" s="59" customFormat="1" ht="17.399999999999999">
      <c r="A31" s="241">
        <f t="shared" si="4"/>
        <v>7</v>
      </c>
      <c r="B31" s="288" t="s">
        <v>215</v>
      </c>
      <c r="C31" s="293" t="s">
        <v>101</v>
      </c>
      <c r="D31" s="145" t="s">
        <v>288</v>
      </c>
      <c r="E31" s="247" t="s">
        <v>226</v>
      </c>
      <c r="F31" s="248">
        <v>14</v>
      </c>
      <c r="G31" s="101" t="s">
        <v>7</v>
      </c>
      <c r="H31" s="102">
        <v>394030</v>
      </c>
      <c r="I31" s="189">
        <f t="shared" si="0"/>
        <v>5516420</v>
      </c>
      <c r="J31" s="24">
        <v>1330</v>
      </c>
      <c r="K31" s="103">
        <f t="shared" si="1"/>
        <v>18620</v>
      </c>
      <c r="L31" s="242"/>
      <c r="M31" s="214"/>
      <c r="N31" s="214">
        <f>VLOOKUP(C31,'[5]CMA Change 1 Coating Paint'!$C$20:$J$148,8,0)</f>
        <v>394030</v>
      </c>
      <c r="O31" s="59">
        <f t="shared" si="2"/>
        <v>0</v>
      </c>
    </row>
    <row r="32" spans="1:28" s="59" customFormat="1" ht="17.399999999999999">
      <c r="A32" s="241">
        <f t="shared" si="4"/>
        <v>8</v>
      </c>
      <c r="B32" s="288" t="s">
        <v>168</v>
      </c>
      <c r="C32" s="293" t="s">
        <v>261</v>
      </c>
      <c r="D32" s="145" t="s">
        <v>289</v>
      </c>
      <c r="E32" s="247">
        <v>112603429</v>
      </c>
      <c r="F32" s="248">
        <v>5</v>
      </c>
      <c r="G32" s="101" t="s">
        <v>7</v>
      </c>
      <c r="H32" s="102">
        <v>571830</v>
      </c>
      <c r="I32" s="189">
        <f t="shared" si="0"/>
        <v>2859150</v>
      </c>
      <c r="J32" s="24">
        <v>1588</v>
      </c>
      <c r="K32" s="103">
        <f t="shared" si="1"/>
        <v>7940</v>
      </c>
      <c r="L32" s="242"/>
      <c r="M32" s="214"/>
      <c r="N32" s="214">
        <v>571830</v>
      </c>
      <c r="O32" s="59">
        <f t="shared" si="2"/>
        <v>0</v>
      </c>
      <c r="W32" s="59">
        <f t="shared" si="3"/>
        <v>571830</v>
      </c>
    </row>
    <row r="33" spans="1:15" s="59" customFormat="1" ht="17.399999999999999">
      <c r="A33" s="241">
        <f t="shared" si="4"/>
        <v>9</v>
      </c>
      <c r="B33" s="288" t="s">
        <v>216</v>
      </c>
      <c r="C33" s="293" t="s">
        <v>244</v>
      </c>
      <c r="D33" s="145" t="s">
        <v>290</v>
      </c>
      <c r="E33" s="247">
        <v>112604604</v>
      </c>
      <c r="F33" s="248">
        <v>50</v>
      </c>
      <c r="G33" s="101" t="s">
        <v>7</v>
      </c>
      <c r="H33" s="102">
        <v>1920</v>
      </c>
      <c r="I33" s="189">
        <f t="shared" si="0"/>
        <v>96000</v>
      </c>
      <c r="J33" s="24">
        <v>6</v>
      </c>
      <c r="K33" s="103">
        <f t="shared" si="1"/>
        <v>300</v>
      </c>
      <c r="L33" s="243"/>
      <c r="M33" s="214"/>
      <c r="N33" s="214">
        <f>VLOOKUP(C33,'[5]CMA Change 1 Coating Paint'!$C$20:$J$148,8,0)</f>
        <v>1920</v>
      </c>
      <c r="O33" s="59">
        <f t="shared" si="2"/>
        <v>0</v>
      </c>
    </row>
    <row r="34" spans="1:15" s="59" customFormat="1" ht="17.399999999999999">
      <c r="A34" s="241">
        <f t="shared" si="4"/>
        <v>10</v>
      </c>
      <c r="B34" s="288" t="s">
        <v>161</v>
      </c>
      <c r="C34" s="293" t="s">
        <v>164</v>
      </c>
      <c r="D34" s="145" t="s">
        <v>291</v>
      </c>
      <c r="E34" s="247">
        <v>112603662</v>
      </c>
      <c r="F34" s="248">
        <v>18</v>
      </c>
      <c r="G34" s="101" t="s">
        <v>7</v>
      </c>
      <c r="H34" s="102">
        <v>14226</v>
      </c>
      <c r="I34" s="189">
        <f t="shared" si="0"/>
        <v>256068</v>
      </c>
      <c r="J34" s="24">
        <v>46</v>
      </c>
      <c r="K34" s="103">
        <f t="shared" si="1"/>
        <v>828</v>
      </c>
      <c r="L34" s="242"/>
      <c r="M34" s="214"/>
      <c r="N34" s="214">
        <f>VLOOKUP(C34,'[5]CMA Change 1 Coating Paint'!$C$20:$J$148,8,0)</f>
        <v>14226</v>
      </c>
      <c r="O34" s="59">
        <f t="shared" si="2"/>
        <v>0</v>
      </c>
    </row>
    <row r="35" spans="1:15" s="59" customFormat="1" ht="17.399999999999999">
      <c r="A35" s="241">
        <f t="shared" si="4"/>
        <v>11</v>
      </c>
      <c r="B35" s="288" t="s">
        <v>169</v>
      </c>
      <c r="C35" s="293" t="s">
        <v>262</v>
      </c>
      <c r="D35" s="145" t="s">
        <v>291</v>
      </c>
      <c r="E35" s="247">
        <v>112603660</v>
      </c>
      <c r="F35" s="248">
        <v>10</v>
      </c>
      <c r="G35" s="101" t="s">
        <v>7</v>
      </c>
      <c r="H35" s="102">
        <v>32349</v>
      </c>
      <c r="I35" s="189">
        <f t="shared" si="0"/>
        <v>323490</v>
      </c>
      <c r="J35" s="24">
        <v>46</v>
      </c>
      <c r="K35" s="103">
        <f t="shared" si="1"/>
        <v>460</v>
      </c>
      <c r="L35" s="242"/>
      <c r="M35" s="214"/>
      <c r="N35" s="214" t="e">
        <f>VLOOKUP(C35,'[5]CMA Change 1 Coating Paint'!$C$20:$J$148,8,0)</f>
        <v>#N/A</v>
      </c>
      <c r="O35" s="59" t="e">
        <f t="shared" si="2"/>
        <v>#N/A</v>
      </c>
    </row>
    <row r="36" spans="1:15" s="59" customFormat="1" ht="17.399999999999999">
      <c r="A36" s="241">
        <f t="shared" si="4"/>
        <v>12</v>
      </c>
      <c r="B36" s="288" t="s">
        <v>182</v>
      </c>
      <c r="C36" s="293" t="s">
        <v>203</v>
      </c>
      <c r="D36" s="145" t="s">
        <v>292</v>
      </c>
      <c r="E36" s="247">
        <v>112603667</v>
      </c>
      <c r="F36" s="248">
        <v>30</v>
      </c>
      <c r="G36" s="101" t="s">
        <v>7</v>
      </c>
      <c r="H36" s="102">
        <v>2165</v>
      </c>
      <c r="I36" s="189">
        <f t="shared" si="0"/>
        <v>64950</v>
      </c>
      <c r="J36" s="24">
        <v>7</v>
      </c>
      <c r="K36" s="103">
        <f t="shared" si="1"/>
        <v>210</v>
      </c>
      <c r="L36" s="242"/>
      <c r="M36" s="214"/>
      <c r="N36" s="214">
        <f>VLOOKUP(C36,'[5]CMA Change 1 Coating Paint'!$C$20:$J$148,8,0)</f>
        <v>2165</v>
      </c>
      <c r="O36" s="59">
        <f t="shared" si="2"/>
        <v>0</v>
      </c>
    </row>
    <row r="37" spans="1:15" s="59" customFormat="1" ht="17.399999999999999">
      <c r="A37" s="241">
        <f t="shared" si="4"/>
        <v>13</v>
      </c>
      <c r="B37" s="288" t="s">
        <v>135</v>
      </c>
      <c r="C37" s="293" t="s">
        <v>152</v>
      </c>
      <c r="D37" s="145" t="s">
        <v>293</v>
      </c>
      <c r="E37" s="247">
        <v>112603662</v>
      </c>
      <c r="F37" s="248">
        <v>10</v>
      </c>
      <c r="G37" s="101" t="s">
        <v>7</v>
      </c>
      <c r="H37" s="102">
        <v>8806</v>
      </c>
      <c r="I37" s="189">
        <f t="shared" si="0"/>
        <v>88060</v>
      </c>
      <c r="J37" s="24">
        <v>30</v>
      </c>
      <c r="K37" s="103">
        <f t="shared" si="1"/>
        <v>300</v>
      </c>
      <c r="L37" s="242"/>
      <c r="M37" s="214"/>
      <c r="N37" s="214">
        <f>VLOOKUP(C37,'[5]CMA Change 1 Coating Paint'!$C$20:$J$148,8,0)</f>
        <v>8806</v>
      </c>
      <c r="O37" s="59">
        <f t="shared" si="2"/>
        <v>0</v>
      </c>
    </row>
    <row r="38" spans="1:15" s="59" customFormat="1" ht="17.399999999999999">
      <c r="A38" s="241">
        <f t="shared" si="4"/>
        <v>14</v>
      </c>
      <c r="B38" s="288" t="s">
        <v>121</v>
      </c>
      <c r="C38" s="293" t="s">
        <v>263</v>
      </c>
      <c r="D38" s="145" t="s">
        <v>293</v>
      </c>
      <c r="E38" s="247">
        <v>112603660</v>
      </c>
      <c r="F38" s="248">
        <v>10</v>
      </c>
      <c r="G38" s="101" t="s">
        <v>7</v>
      </c>
      <c r="H38" s="102">
        <v>22788</v>
      </c>
      <c r="I38" s="189">
        <f t="shared" si="0"/>
        <v>227880</v>
      </c>
      <c r="J38" s="24">
        <v>30</v>
      </c>
      <c r="K38" s="103">
        <f t="shared" si="1"/>
        <v>300</v>
      </c>
      <c r="L38" s="242"/>
      <c r="M38" s="214"/>
      <c r="N38" s="214" t="e">
        <f>VLOOKUP(C38,'[5]CMA Change 1 Coating Paint'!$C$20:$J$148,8,0)</f>
        <v>#N/A</v>
      </c>
      <c r="O38" s="59" t="e">
        <f t="shared" si="2"/>
        <v>#N/A</v>
      </c>
    </row>
    <row r="39" spans="1:15" s="59" customFormat="1" ht="17.399999999999999">
      <c r="A39" s="241">
        <f t="shared" si="4"/>
        <v>15</v>
      </c>
      <c r="B39" s="288" t="s">
        <v>111</v>
      </c>
      <c r="C39" s="293" t="s">
        <v>264</v>
      </c>
      <c r="D39" s="145" t="s">
        <v>294</v>
      </c>
      <c r="E39" s="247" t="s">
        <v>227</v>
      </c>
      <c r="F39" s="248">
        <v>15</v>
      </c>
      <c r="G39" s="101" t="s">
        <v>7</v>
      </c>
      <c r="H39" s="102">
        <v>29700</v>
      </c>
      <c r="I39" s="189">
        <f t="shared" si="0"/>
        <v>445500</v>
      </c>
      <c r="J39" s="24">
        <v>42</v>
      </c>
      <c r="K39" s="103">
        <f t="shared" si="1"/>
        <v>630</v>
      </c>
      <c r="L39" s="242"/>
      <c r="M39" s="214"/>
      <c r="N39" s="214" t="e">
        <f>VLOOKUP(C39,'[5]CMA Change 1 Coating Paint'!$C$20:$J$148,8,0)</f>
        <v>#N/A</v>
      </c>
      <c r="O39" s="59" t="e">
        <f t="shared" si="2"/>
        <v>#N/A</v>
      </c>
    </row>
    <row r="40" spans="1:15" s="59" customFormat="1" ht="17.399999999999999">
      <c r="A40" s="241">
        <f t="shared" si="4"/>
        <v>16</v>
      </c>
      <c r="B40" s="288" t="s">
        <v>124</v>
      </c>
      <c r="C40" s="293" t="s">
        <v>125</v>
      </c>
      <c r="D40" s="145" t="s">
        <v>295</v>
      </c>
      <c r="E40" s="247">
        <v>112603657</v>
      </c>
      <c r="F40" s="248">
        <v>10</v>
      </c>
      <c r="G40" s="101" t="s">
        <v>7</v>
      </c>
      <c r="H40" s="102">
        <v>40848</v>
      </c>
      <c r="I40" s="189">
        <f t="shared" si="0"/>
        <v>408480</v>
      </c>
      <c r="J40" s="24">
        <v>141</v>
      </c>
      <c r="K40" s="103">
        <f t="shared" si="1"/>
        <v>1410</v>
      </c>
      <c r="L40" s="242"/>
      <c r="M40" s="214"/>
      <c r="N40" s="214">
        <f>VLOOKUP(C40,'[5]CMA Change 1 Coating Paint'!$C$20:$J$148,8,0)</f>
        <v>40848</v>
      </c>
      <c r="O40" s="59">
        <f t="shared" si="2"/>
        <v>0</v>
      </c>
    </row>
    <row r="41" spans="1:15" s="59" customFormat="1" ht="17.399999999999999">
      <c r="A41" s="241">
        <f t="shared" si="4"/>
        <v>17</v>
      </c>
      <c r="B41" s="288" t="s">
        <v>118</v>
      </c>
      <c r="C41" s="293" t="s">
        <v>265</v>
      </c>
      <c r="D41" s="145" t="s">
        <v>295</v>
      </c>
      <c r="E41" s="247">
        <v>112603665</v>
      </c>
      <c r="F41" s="248">
        <v>5</v>
      </c>
      <c r="G41" s="101" t="s">
        <v>7</v>
      </c>
      <c r="H41" s="102">
        <v>90030</v>
      </c>
      <c r="I41" s="189">
        <f t="shared" si="0"/>
        <v>450150</v>
      </c>
      <c r="J41" s="24">
        <v>141</v>
      </c>
      <c r="K41" s="103">
        <f t="shared" si="1"/>
        <v>705</v>
      </c>
      <c r="L41" s="242"/>
      <c r="M41" s="214"/>
      <c r="N41" s="214" t="e">
        <f>VLOOKUP(C41,'[5]CMA Change 1 Coating Paint'!$C$20:$J$148,8,0)</f>
        <v>#N/A</v>
      </c>
      <c r="O41" s="59" t="e">
        <f t="shared" si="2"/>
        <v>#N/A</v>
      </c>
    </row>
    <row r="42" spans="1:15" s="59" customFormat="1" ht="17.399999999999999">
      <c r="A42" s="241">
        <f t="shared" si="4"/>
        <v>18</v>
      </c>
      <c r="B42" s="288" t="s">
        <v>217</v>
      </c>
      <c r="C42" s="293" t="s">
        <v>266</v>
      </c>
      <c r="D42" s="145" t="s">
        <v>296</v>
      </c>
      <c r="E42" s="247" t="s">
        <v>228</v>
      </c>
      <c r="F42" s="248">
        <v>20</v>
      </c>
      <c r="G42" s="101" t="s">
        <v>7</v>
      </c>
      <c r="H42" s="102">
        <v>21919</v>
      </c>
      <c r="I42" s="189">
        <f t="shared" si="0"/>
        <v>438380</v>
      </c>
      <c r="J42" s="24">
        <v>19</v>
      </c>
      <c r="K42" s="103">
        <f t="shared" si="1"/>
        <v>380</v>
      </c>
      <c r="L42" s="242"/>
      <c r="M42" s="214"/>
      <c r="N42" s="214" t="e">
        <f>VLOOKUP(C42,'[5]CMA Change 1 Coating Paint'!$C$20:$J$148,8,0)</f>
        <v>#N/A</v>
      </c>
      <c r="O42" s="59" t="e">
        <f t="shared" si="2"/>
        <v>#N/A</v>
      </c>
    </row>
    <row r="43" spans="1:15" s="59" customFormat="1" ht="17.399999999999999">
      <c r="A43" s="241">
        <f t="shared" si="4"/>
        <v>19</v>
      </c>
      <c r="B43" s="288" t="s">
        <v>127</v>
      </c>
      <c r="C43" s="293" t="s">
        <v>267</v>
      </c>
      <c r="D43" s="145" t="s">
        <v>291</v>
      </c>
      <c r="E43" s="247">
        <v>112603650</v>
      </c>
      <c r="F43" s="248">
        <v>15</v>
      </c>
      <c r="G43" s="101" t="s">
        <v>7</v>
      </c>
      <c r="H43" s="102">
        <v>37724</v>
      </c>
      <c r="I43" s="189">
        <f t="shared" si="0"/>
        <v>565860</v>
      </c>
      <c r="J43" s="24">
        <v>43</v>
      </c>
      <c r="K43" s="103">
        <f t="shared" si="1"/>
        <v>645</v>
      </c>
      <c r="L43" s="242"/>
      <c r="M43" s="214"/>
      <c r="N43" s="214" t="e">
        <f>VLOOKUP(C43,'[5]CMA Change 1 Coating Paint'!$C$20:$J$148,8,0)</f>
        <v>#N/A</v>
      </c>
      <c r="O43" s="59" t="e">
        <f t="shared" si="2"/>
        <v>#N/A</v>
      </c>
    </row>
    <row r="44" spans="1:15" s="59" customFormat="1" ht="17.399999999999999">
      <c r="A44" s="241">
        <f t="shared" si="4"/>
        <v>20</v>
      </c>
      <c r="B44" s="288" t="s">
        <v>155</v>
      </c>
      <c r="C44" s="293" t="s">
        <v>268</v>
      </c>
      <c r="D44" s="145" t="s">
        <v>297</v>
      </c>
      <c r="E44" s="247" t="s">
        <v>229</v>
      </c>
      <c r="F44" s="248">
        <v>16</v>
      </c>
      <c r="G44" s="101" t="s">
        <v>7</v>
      </c>
      <c r="H44" s="102">
        <v>25747</v>
      </c>
      <c r="I44" s="189">
        <f t="shared" si="0"/>
        <v>411952</v>
      </c>
      <c r="J44" s="24">
        <v>37</v>
      </c>
      <c r="K44" s="103">
        <f t="shared" si="1"/>
        <v>592</v>
      </c>
      <c r="L44" s="242"/>
      <c r="M44" s="214"/>
      <c r="N44" s="214" t="e">
        <f>VLOOKUP(C44,'[5]CMA Change 1 Coating Paint'!$C$20:$J$148,8,0)</f>
        <v>#N/A</v>
      </c>
      <c r="O44" s="59" t="e">
        <f t="shared" si="2"/>
        <v>#N/A</v>
      </c>
    </row>
    <row r="45" spans="1:15" s="59" customFormat="1" ht="17.399999999999999">
      <c r="A45" s="241">
        <f t="shared" si="4"/>
        <v>21</v>
      </c>
      <c r="B45" s="288" t="s">
        <v>183</v>
      </c>
      <c r="C45" s="293" t="s">
        <v>204</v>
      </c>
      <c r="D45" s="145" t="s">
        <v>298</v>
      </c>
      <c r="E45" s="247">
        <v>112603662</v>
      </c>
      <c r="F45" s="248">
        <v>50</v>
      </c>
      <c r="G45" s="101" t="s">
        <v>7</v>
      </c>
      <c r="H45" s="102">
        <v>1387</v>
      </c>
      <c r="I45" s="189">
        <f t="shared" si="0"/>
        <v>69350</v>
      </c>
      <c r="J45" s="24">
        <v>3</v>
      </c>
      <c r="K45" s="103">
        <f t="shared" si="1"/>
        <v>150</v>
      </c>
      <c r="L45" s="242"/>
      <c r="M45" s="214"/>
      <c r="N45" s="214">
        <f>VLOOKUP(C45,'[5]CMA Change 1 Coating Paint'!$C$20:$J$148,8,0)</f>
        <v>1387</v>
      </c>
      <c r="O45" s="59">
        <f t="shared" si="2"/>
        <v>0</v>
      </c>
    </row>
    <row r="46" spans="1:15" s="59" customFormat="1" ht="17.399999999999999">
      <c r="A46" s="241">
        <f t="shared" si="4"/>
        <v>22</v>
      </c>
      <c r="B46" s="288" t="s">
        <v>184</v>
      </c>
      <c r="C46" s="293" t="s">
        <v>205</v>
      </c>
      <c r="D46" s="145" t="s">
        <v>299</v>
      </c>
      <c r="E46" s="247">
        <v>112603646</v>
      </c>
      <c r="F46" s="248">
        <v>30</v>
      </c>
      <c r="G46" s="101" t="s">
        <v>7</v>
      </c>
      <c r="H46" s="102">
        <v>4846</v>
      </c>
      <c r="I46" s="189">
        <f t="shared" si="0"/>
        <v>145380</v>
      </c>
      <c r="J46" s="24">
        <v>13</v>
      </c>
      <c r="K46" s="103">
        <f t="shared" si="1"/>
        <v>390</v>
      </c>
      <c r="L46" s="242"/>
      <c r="M46" s="214"/>
      <c r="N46" s="214">
        <f>VLOOKUP(C46,'[5]CMA Change 1 Coating Paint'!$C$20:$J$148,8,0)</f>
        <v>4846</v>
      </c>
      <c r="O46" s="59">
        <f t="shared" si="2"/>
        <v>0</v>
      </c>
    </row>
    <row r="47" spans="1:15" s="59" customFormat="1" ht="17.399999999999999">
      <c r="A47" s="241">
        <f t="shared" si="4"/>
        <v>23</v>
      </c>
      <c r="B47" s="288" t="s">
        <v>136</v>
      </c>
      <c r="C47" s="293" t="s">
        <v>144</v>
      </c>
      <c r="D47" s="145" t="s">
        <v>300</v>
      </c>
      <c r="E47" s="247" t="s">
        <v>230</v>
      </c>
      <c r="F47" s="248">
        <v>30</v>
      </c>
      <c r="G47" s="101" t="s">
        <v>7</v>
      </c>
      <c r="H47" s="102">
        <v>4304</v>
      </c>
      <c r="I47" s="189">
        <f t="shared" si="0"/>
        <v>129120</v>
      </c>
      <c r="J47" s="24">
        <v>13</v>
      </c>
      <c r="K47" s="103">
        <f t="shared" si="1"/>
        <v>390</v>
      </c>
      <c r="L47" s="242"/>
      <c r="M47" s="214"/>
      <c r="N47" s="214">
        <f>VLOOKUP(C47,'[5]CMA Change 1 Coating Paint'!$C$20:$J$148,8,0)</f>
        <v>4304</v>
      </c>
      <c r="O47" s="59">
        <f t="shared" si="2"/>
        <v>0</v>
      </c>
    </row>
    <row r="48" spans="1:15" s="59" customFormat="1" ht="17.399999999999999">
      <c r="A48" s="241">
        <f t="shared" si="4"/>
        <v>24</v>
      </c>
      <c r="B48" s="288" t="s">
        <v>137</v>
      </c>
      <c r="C48" s="293" t="s">
        <v>269</v>
      </c>
      <c r="D48" s="145" t="s">
        <v>301</v>
      </c>
      <c r="E48" s="247">
        <v>112603660</v>
      </c>
      <c r="F48" s="248">
        <v>6</v>
      </c>
      <c r="G48" s="101" t="s">
        <v>7</v>
      </c>
      <c r="H48" s="102">
        <v>35624</v>
      </c>
      <c r="I48" s="189">
        <f t="shared" si="0"/>
        <v>213744</v>
      </c>
      <c r="J48" s="24">
        <v>63</v>
      </c>
      <c r="K48" s="103">
        <f t="shared" si="1"/>
        <v>378</v>
      </c>
      <c r="L48" s="242"/>
      <c r="M48" s="214"/>
      <c r="N48" s="214">
        <v>35624</v>
      </c>
      <c r="O48" s="59">
        <f t="shared" si="2"/>
        <v>0</v>
      </c>
    </row>
    <row r="49" spans="1:15" s="59" customFormat="1" ht="17.399999999999999">
      <c r="A49" s="241">
        <f t="shared" si="4"/>
        <v>25</v>
      </c>
      <c r="B49" s="288" t="s">
        <v>138</v>
      </c>
      <c r="C49" s="293" t="s">
        <v>145</v>
      </c>
      <c r="D49" s="145" t="s">
        <v>302</v>
      </c>
      <c r="E49" s="247" t="s">
        <v>231</v>
      </c>
      <c r="F49" s="248">
        <v>6</v>
      </c>
      <c r="G49" s="101" t="s">
        <v>7</v>
      </c>
      <c r="H49" s="102">
        <v>49944</v>
      </c>
      <c r="I49" s="189">
        <f t="shared" si="0"/>
        <v>299664</v>
      </c>
      <c r="J49" s="24">
        <v>166</v>
      </c>
      <c r="K49" s="103">
        <f t="shared" si="1"/>
        <v>996</v>
      </c>
      <c r="L49" s="242"/>
      <c r="M49" s="214"/>
      <c r="N49" s="214">
        <f>VLOOKUP(C49,'[5]CMA Change 1 Coating Paint'!$C$20:$J$148,8,0)</f>
        <v>49944</v>
      </c>
      <c r="O49" s="59">
        <f t="shared" si="2"/>
        <v>0</v>
      </c>
    </row>
    <row r="50" spans="1:15" s="59" customFormat="1" ht="17.399999999999999">
      <c r="A50" s="241">
        <f t="shared" si="4"/>
        <v>26</v>
      </c>
      <c r="B50" s="288" t="s">
        <v>162</v>
      </c>
      <c r="C50" s="293" t="s">
        <v>270</v>
      </c>
      <c r="D50" s="145" t="s">
        <v>295</v>
      </c>
      <c r="E50" s="247">
        <v>112603656</v>
      </c>
      <c r="F50" s="248">
        <v>3</v>
      </c>
      <c r="G50" s="101" t="s">
        <v>7</v>
      </c>
      <c r="H50" s="102">
        <v>98850</v>
      </c>
      <c r="I50" s="189">
        <f t="shared" si="0"/>
        <v>296550</v>
      </c>
      <c r="J50" s="24">
        <v>166</v>
      </c>
      <c r="K50" s="103">
        <f t="shared" si="1"/>
        <v>498</v>
      </c>
      <c r="L50" s="242"/>
      <c r="M50" s="214"/>
      <c r="N50" s="214" t="e">
        <f>VLOOKUP(C50,'[5]CMA Change 1 Coating Paint'!$C$20:$J$148,8,0)</f>
        <v>#N/A</v>
      </c>
      <c r="O50" s="59" t="e">
        <f t="shared" si="2"/>
        <v>#N/A</v>
      </c>
    </row>
    <row r="51" spans="1:15" s="59" customFormat="1" ht="17.399999999999999">
      <c r="A51" s="241">
        <f t="shared" si="4"/>
        <v>27</v>
      </c>
      <c r="B51" s="288" t="s">
        <v>139</v>
      </c>
      <c r="C51" s="293" t="s">
        <v>271</v>
      </c>
      <c r="D51" s="145" t="s">
        <v>303</v>
      </c>
      <c r="E51" s="247">
        <v>112603660</v>
      </c>
      <c r="F51" s="248">
        <v>10</v>
      </c>
      <c r="G51" s="101" t="s">
        <v>7</v>
      </c>
      <c r="H51" s="102">
        <v>21853</v>
      </c>
      <c r="I51" s="189">
        <f t="shared" si="0"/>
        <v>218530</v>
      </c>
      <c r="J51" s="24">
        <v>21</v>
      </c>
      <c r="K51" s="103">
        <f t="shared" si="1"/>
        <v>210</v>
      </c>
      <c r="L51" s="242"/>
      <c r="M51" s="214"/>
      <c r="N51" s="214">
        <v>21853</v>
      </c>
      <c r="O51" s="59">
        <f t="shared" si="2"/>
        <v>0</v>
      </c>
    </row>
    <row r="52" spans="1:15" s="59" customFormat="1" ht="17.399999999999999">
      <c r="A52" s="241">
        <f t="shared" si="4"/>
        <v>28</v>
      </c>
      <c r="B52" s="288" t="s">
        <v>218</v>
      </c>
      <c r="C52" s="293" t="s">
        <v>272</v>
      </c>
      <c r="D52" s="145" t="s">
        <v>304</v>
      </c>
      <c r="E52" s="247">
        <v>112603660</v>
      </c>
      <c r="F52" s="248">
        <v>6</v>
      </c>
      <c r="G52" s="101" t="s">
        <v>7</v>
      </c>
      <c r="H52" s="102">
        <v>23451</v>
      </c>
      <c r="I52" s="189">
        <f t="shared" si="0"/>
        <v>140706</v>
      </c>
      <c r="J52" s="24">
        <v>28</v>
      </c>
      <c r="K52" s="103">
        <f t="shared" si="1"/>
        <v>168</v>
      </c>
      <c r="L52" s="242"/>
      <c r="M52" s="214"/>
      <c r="N52" s="214">
        <v>23451</v>
      </c>
      <c r="O52" s="59">
        <f t="shared" si="2"/>
        <v>0</v>
      </c>
    </row>
    <row r="53" spans="1:15" s="59" customFormat="1" ht="17.399999999999999">
      <c r="A53" s="241">
        <f t="shared" si="4"/>
        <v>29</v>
      </c>
      <c r="B53" s="288" t="s">
        <v>219</v>
      </c>
      <c r="C53" s="293" t="s">
        <v>245</v>
      </c>
      <c r="D53" s="145" t="s">
        <v>305</v>
      </c>
      <c r="E53" s="247">
        <v>112603662</v>
      </c>
      <c r="F53" s="248">
        <v>12</v>
      </c>
      <c r="G53" s="101" t="s">
        <v>7</v>
      </c>
      <c r="H53" s="102">
        <v>12737</v>
      </c>
      <c r="I53" s="189">
        <f t="shared" si="0"/>
        <v>152844</v>
      </c>
      <c r="J53" s="24">
        <v>38</v>
      </c>
      <c r="K53" s="103">
        <f t="shared" si="1"/>
        <v>456</v>
      </c>
      <c r="L53" s="242"/>
      <c r="M53" s="214"/>
      <c r="N53" s="214">
        <f>VLOOKUP(C53,'[5]CMA Change 1 Coating Paint'!$C$20:$J$148,8,0)</f>
        <v>12737</v>
      </c>
      <c r="O53" s="59">
        <f t="shared" si="2"/>
        <v>0</v>
      </c>
    </row>
    <row r="54" spans="1:15" s="59" customFormat="1" ht="17.399999999999999">
      <c r="A54" s="241">
        <f t="shared" si="4"/>
        <v>30</v>
      </c>
      <c r="B54" s="288" t="s">
        <v>185</v>
      </c>
      <c r="C54" s="293" t="s">
        <v>273</v>
      </c>
      <c r="D54" s="145" t="s">
        <v>306</v>
      </c>
      <c r="E54" s="247">
        <v>112604331</v>
      </c>
      <c r="F54" s="248">
        <v>6</v>
      </c>
      <c r="G54" s="101" t="s">
        <v>7</v>
      </c>
      <c r="H54" s="102">
        <v>29125</v>
      </c>
      <c r="I54" s="189">
        <f t="shared" si="0"/>
        <v>174750</v>
      </c>
      <c r="J54" s="24">
        <v>38</v>
      </c>
      <c r="K54" s="103">
        <f t="shared" si="1"/>
        <v>228</v>
      </c>
      <c r="L54" s="242"/>
      <c r="M54" s="214"/>
      <c r="N54" s="214">
        <v>29125</v>
      </c>
      <c r="O54" s="59">
        <f t="shared" si="2"/>
        <v>0</v>
      </c>
    </row>
    <row r="55" spans="1:15" s="59" customFormat="1" ht="17.399999999999999">
      <c r="A55" s="241">
        <f t="shared" si="4"/>
        <v>31</v>
      </c>
      <c r="B55" s="288" t="s">
        <v>140</v>
      </c>
      <c r="C55" s="293" t="s">
        <v>274</v>
      </c>
      <c r="D55" s="145" t="s">
        <v>307</v>
      </c>
      <c r="E55" s="247">
        <v>112603656</v>
      </c>
      <c r="F55" s="248">
        <v>7</v>
      </c>
      <c r="G55" s="101" t="s">
        <v>7</v>
      </c>
      <c r="H55" s="102">
        <v>20887</v>
      </c>
      <c r="I55" s="189">
        <f t="shared" si="0"/>
        <v>146209</v>
      </c>
      <c r="J55" s="24">
        <v>31</v>
      </c>
      <c r="K55" s="103">
        <f t="shared" si="1"/>
        <v>217</v>
      </c>
      <c r="L55" s="242"/>
      <c r="M55" s="214"/>
      <c r="N55" s="214" t="e">
        <f>VLOOKUP(C55,'[5]CMA Change 1 Coating Paint'!$C$20:$J$148,8,0)</f>
        <v>#N/A</v>
      </c>
      <c r="O55" s="59" t="e">
        <f t="shared" si="2"/>
        <v>#N/A</v>
      </c>
    </row>
    <row r="56" spans="1:15" s="59" customFormat="1" ht="17.399999999999999">
      <c r="A56" s="241">
        <f t="shared" si="4"/>
        <v>32</v>
      </c>
      <c r="B56" s="288" t="s">
        <v>133</v>
      </c>
      <c r="C56" s="293" t="s">
        <v>275</v>
      </c>
      <c r="D56" s="145" t="s">
        <v>308</v>
      </c>
      <c r="E56" s="247">
        <v>112603660</v>
      </c>
      <c r="F56" s="248">
        <v>10</v>
      </c>
      <c r="G56" s="101" t="s">
        <v>7</v>
      </c>
      <c r="H56" s="102">
        <v>17845</v>
      </c>
      <c r="I56" s="189">
        <f t="shared" si="0"/>
        <v>178450</v>
      </c>
      <c r="J56" s="24">
        <v>26</v>
      </c>
      <c r="K56" s="103">
        <f t="shared" si="1"/>
        <v>260</v>
      </c>
      <c r="L56" s="242"/>
      <c r="M56" s="214"/>
      <c r="N56" s="214">
        <v>17845</v>
      </c>
      <c r="O56" s="59">
        <f t="shared" si="2"/>
        <v>0</v>
      </c>
    </row>
    <row r="57" spans="1:15" s="59" customFormat="1" ht="17.399999999999999">
      <c r="A57" s="241">
        <f t="shared" si="4"/>
        <v>33</v>
      </c>
      <c r="B57" s="288" t="s">
        <v>186</v>
      </c>
      <c r="C57" s="293" t="s">
        <v>201</v>
      </c>
      <c r="D57" s="145" t="s">
        <v>309</v>
      </c>
      <c r="E57" s="247">
        <v>112603655</v>
      </c>
      <c r="F57" s="248">
        <v>10</v>
      </c>
      <c r="G57" s="101" t="s">
        <v>7</v>
      </c>
      <c r="H57" s="102">
        <v>23547</v>
      </c>
      <c r="I57" s="189">
        <f t="shared" si="0"/>
        <v>235470</v>
      </c>
      <c r="J57" s="24">
        <v>73</v>
      </c>
      <c r="K57" s="103">
        <f t="shared" si="1"/>
        <v>730</v>
      </c>
      <c r="L57" s="242"/>
      <c r="M57" s="214"/>
      <c r="N57" s="214">
        <f>VLOOKUP(C57,'[5]CMA Change 1 Coating Paint'!$C$20:$J$148,8,0)</f>
        <v>23547</v>
      </c>
      <c r="O57" s="59">
        <f t="shared" si="2"/>
        <v>0</v>
      </c>
    </row>
    <row r="58" spans="1:15" s="59" customFormat="1" ht="17.399999999999999">
      <c r="A58" s="241">
        <f t="shared" si="4"/>
        <v>34</v>
      </c>
      <c r="B58" s="288" t="s">
        <v>170</v>
      </c>
      <c r="C58" s="293" t="s">
        <v>176</v>
      </c>
      <c r="D58" s="145" t="s">
        <v>310</v>
      </c>
      <c r="E58" s="247">
        <v>112603662</v>
      </c>
      <c r="F58" s="248">
        <v>10</v>
      </c>
      <c r="G58" s="101" t="s">
        <v>7</v>
      </c>
      <c r="H58" s="102">
        <v>1387</v>
      </c>
      <c r="I58" s="189">
        <f t="shared" si="0"/>
        <v>13870</v>
      </c>
      <c r="J58" s="24">
        <v>3</v>
      </c>
      <c r="K58" s="103">
        <f t="shared" si="1"/>
        <v>30</v>
      </c>
      <c r="L58" s="242"/>
      <c r="M58" s="214"/>
      <c r="N58" s="214">
        <f>VLOOKUP(C58,'[5]CMA Change 1 Coating Paint'!$C$20:$J$148,8,0)</f>
        <v>1387</v>
      </c>
      <c r="O58" s="59">
        <f t="shared" si="2"/>
        <v>0</v>
      </c>
    </row>
    <row r="59" spans="1:15" s="59" customFormat="1" ht="17.399999999999999">
      <c r="A59" s="241">
        <f t="shared" si="4"/>
        <v>35</v>
      </c>
      <c r="B59" s="288" t="s">
        <v>171</v>
      </c>
      <c r="C59" s="293" t="s">
        <v>179</v>
      </c>
      <c r="D59" s="145" t="s">
        <v>311</v>
      </c>
      <c r="E59" s="247">
        <v>112603662</v>
      </c>
      <c r="F59" s="248">
        <v>10</v>
      </c>
      <c r="G59" s="101" t="s">
        <v>7</v>
      </c>
      <c r="H59" s="102">
        <v>1387</v>
      </c>
      <c r="I59" s="189">
        <f t="shared" si="0"/>
        <v>13870</v>
      </c>
      <c r="J59" s="24">
        <v>3</v>
      </c>
      <c r="K59" s="103">
        <f t="shared" si="1"/>
        <v>30</v>
      </c>
      <c r="L59" s="242"/>
      <c r="M59" s="214"/>
      <c r="N59" s="214">
        <f>VLOOKUP(C59,'[5]CMA Change 1 Coating Paint'!$C$20:$J$148,8,0)</f>
        <v>1387</v>
      </c>
      <c r="O59" s="59">
        <f t="shared" si="2"/>
        <v>0</v>
      </c>
    </row>
    <row r="60" spans="1:15" s="59" customFormat="1" ht="17.399999999999999">
      <c r="A60" s="241">
        <f t="shared" si="4"/>
        <v>36</v>
      </c>
      <c r="B60" s="288" t="s">
        <v>220</v>
      </c>
      <c r="C60" s="293" t="s">
        <v>237</v>
      </c>
      <c r="D60" s="145" t="s">
        <v>312</v>
      </c>
      <c r="E60" s="247">
        <v>112603655</v>
      </c>
      <c r="F60" s="248">
        <v>15</v>
      </c>
      <c r="G60" s="101" t="s">
        <v>7</v>
      </c>
      <c r="H60" s="102">
        <v>40184</v>
      </c>
      <c r="I60" s="189">
        <f t="shared" si="0"/>
        <v>602760</v>
      </c>
      <c r="J60" s="24">
        <v>135</v>
      </c>
      <c r="K60" s="103">
        <f t="shared" si="1"/>
        <v>2025</v>
      </c>
      <c r="L60" s="242"/>
      <c r="M60" s="214"/>
      <c r="N60" s="214">
        <f>VLOOKUP(C60,'[5]CMA Change 1 Coating Paint'!$C$20:$J$148,8,0)</f>
        <v>40184</v>
      </c>
      <c r="O60" s="59">
        <f t="shared" si="2"/>
        <v>0</v>
      </c>
    </row>
    <row r="61" spans="1:15" s="59" customFormat="1" ht="17.399999999999999">
      <c r="A61" s="241">
        <f t="shared" si="4"/>
        <v>37</v>
      </c>
      <c r="B61" s="288" t="s">
        <v>187</v>
      </c>
      <c r="C61" s="293" t="s">
        <v>199</v>
      </c>
      <c r="D61" s="145" t="s">
        <v>313</v>
      </c>
      <c r="E61" s="247">
        <v>112603620</v>
      </c>
      <c r="F61" s="248">
        <v>10</v>
      </c>
      <c r="G61" s="101" t="s">
        <v>7</v>
      </c>
      <c r="H61" s="102">
        <v>7048</v>
      </c>
      <c r="I61" s="189">
        <f t="shared" si="0"/>
        <v>70480</v>
      </c>
      <c r="J61" s="24">
        <v>23</v>
      </c>
      <c r="K61" s="103">
        <f t="shared" si="1"/>
        <v>230</v>
      </c>
      <c r="L61" s="242"/>
      <c r="M61" s="214"/>
      <c r="N61" s="214">
        <f>VLOOKUP(C61,'[5]CMA Change 1 Coating Paint'!$C$20:$J$148,8,0)</f>
        <v>7048</v>
      </c>
      <c r="O61" s="59">
        <f t="shared" si="2"/>
        <v>0</v>
      </c>
    </row>
    <row r="62" spans="1:15" s="59" customFormat="1" ht="17.399999999999999">
      <c r="A62" s="241">
        <f t="shared" si="4"/>
        <v>38</v>
      </c>
      <c r="B62" s="288" t="s">
        <v>221</v>
      </c>
      <c r="C62" s="293" t="s">
        <v>246</v>
      </c>
      <c r="D62" s="145" t="s">
        <v>313</v>
      </c>
      <c r="E62" s="247">
        <v>112603620</v>
      </c>
      <c r="F62" s="248">
        <v>10</v>
      </c>
      <c r="G62" s="101" t="s">
        <v>7</v>
      </c>
      <c r="H62" s="102">
        <v>16853</v>
      </c>
      <c r="I62" s="189">
        <f t="shared" si="0"/>
        <v>168530</v>
      </c>
      <c r="J62" s="24">
        <v>55</v>
      </c>
      <c r="K62" s="103">
        <f t="shared" si="1"/>
        <v>550</v>
      </c>
      <c r="L62" s="242"/>
      <c r="M62" s="214"/>
      <c r="N62" s="214">
        <f>VLOOKUP(C62,'[5]CMA Change 1 Coating Paint'!$C$20:$J$148,8,0)</f>
        <v>16853</v>
      </c>
      <c r="O62" s="59">
        <f t="shared" si="2"/>
        <v>0</v>
      </c>
    </row>
    <row r="63" spans="1:15" s="59" customFormat="1" ht="17.399999999999999">
      <c r="A63" s="241">
        <f t="shared" si="4"/>
        <v>39</v>
      </c>
      <c r="B63" s="288" t="s">
        <v>222</v>
      </c>
      <c r="C63" s="293" t="s">
        <v>247</v>
      </c>
      <c r="D63" s="145" t="s">
        <v>314</v>
      </c>
      <c r="E63" s="247">
        <v>112603662</v>
      </c>
      <c r="F63" s="248">
        <v>15</v>
      </c>
      <c r="G63" s="101" t="s">
        <v>7</v>
      </c>
      <c r="H63" s="102">
        <v>12717</v>
      </c>
      <c r="I63" s="189">
        <f t="shared" si="0"/>
        <v>190755</v>
      </c>
      <c r="J63" s="24">
        <v>37</v>
      </c>
      <c r="K63" s="103">
        <f t="shared" si="1"/>
        <v>555</v>
      </c>
      <c r="L63" s="242"/>
      <c r="M63" s="214"/>
      <c r="N63" s="214">
        <f>VLOOKUP(C63,'[5]CMA Change 1 Coating Paint'!$C$20:$J$148,8,0)</f>
        <v>12717</v>
      </c>
      <c r="O63" s="59">
        <f t="shared" si="2"/>
        <v>0</v>
      </c>
    </row>
    <row r="64" spans="1:15" s="59" customFormat="1" ht="17.399999999999999">
      <c r="A64" s="241">
        <f t="shared" si="4"/>
        <v>40</v>
      </c>
      <c r="B64" s="288" t="s">
        <v>223</v>
      </c>
      <c r="C64" s="293" t="s">
        <v>238</v>
      </c>
      <c r="D64" s="145" t="s">
        <v>315</v>
      </c>
      <c r="E64" s="247">
        <v>112603662</v>
      </c>
      <c r="F64" s="248">
        <v>15</v>
      </c>
      <c r="G64" s="101" t="s">
        <v>7</v>
      </c>
      <c r="H64" s="102">
        <v>6404</v>
      </c>
      <c r="I64" s="189">
        <f t="shared" si="0"/>
        <v>96060</v>
      </c>
      <c r="J64" s="24">
        <v>20</v>
      </c>
      <c r="K64" s="103">
        <f t="shared" si="1"/>
        <v>300</v>
      </c>
      <c r="L64" s="242"/>
      <c r="M64" s="214"/>
      <c r="N64" s="214">
        <f>VLOOKUP(C64,'[5]CMA Change 1 Coating Paint'!$C$20:$J$148,8,0)</f>
        <v>6404</v>
      </c>
      <c r="O64" s="59">
        <f t="shared" si="2"/>
        <v>0</v>
      </c>
    </row>
    <row r="65" spans="1:15" s="59" customFormat="1" ht="17.399999999999999">
      <c r="A65" s="241">
        <f t="shared" si="4"/>
        <v>41</v>
      </c>
      <c r="B65" s="288" t="s">
        <v>224</v>
      </c>
      <c r="C65" s="293" t="s">
        <v>239</v>
      </c>
      <c r="D65" s="145" t="s">
        <v>316</v>
      </c>
      <c r="E65" s="247">
        <v>112603662</v>
      </c>
      <c r="F65" s="248">
        <v>15</v>
      </c>
      <c r="G65" s="101" t="s">
        <v>7</v>
      </c>
      <c r="H65" s="102">
        <v>8382</v>
      </c>
      <c r="I65" s="189">
        <f t="shared" si="0"/>
        <v>125730</v>
      </c>
      <c r="J65" s="24">
        <v>26</v>
      </c>
      <c r="K65" s="103">
        <f t="shared" si="1"/>
        <v>390</v>
      </c>
      <c r="L65" s="242"/>
      <c r="M65" s="214"/>
      <c r="N65" s="214">
        <f>VLOOKUP(C65,'[5]CMA Change 1 Coating Paint'!$C$20:$J$148,8,0)</f>
        <v>8382</v>
      </c>
      <c r="O65" s="59">
        <f t="shared" si="2"/>
        <v>0</v>
      </c>
    </row>
    <row r="66" spans="1:15" s="59" customFormat="1" ht="17.399999999999999">
      <c r="A66" s="241">
        <f t="shared" si="4"/>
        <v>42</v>
      </c>
      <c r="B66" s="288" t="s">
        <v>141</v>
      </c>
      <c r="C66" s="293" t="s">
        <v>146</v>
      </c>
      <c r="D66" s="145" t="s">
        <v>295</v>
      </c>
      <c r="E66" s="247">
        <v>112603663</v>
      </c>
      <c r="F66" s="248">
        <v>15</v>
      </c>
      <c r="G66" s="101" t="s">
        <v>7</v>
      </c>
      <c r="H66" s="102">
        <v>47464</v>
      </c>
      <c r="I66" s="189">
        <f t="shared" si="0"/>
        <v>711960</v>
      </c>
      <c r="J66" s="24">
        <v>158</v>
      </c>
      <c r="K66" s="103">
        <f t="shared" si="1"/>
        <v>2370</v>
      </c>
      <c r="L66" s="242"/>
      <c r="M66" s="214"/>
      <c r="N66" s="214">
        <f>VLOOKUP(C66,'[5]CMA Change 1 Coating Paint'!$C$20:$J$148,8,0)</f>
        <v>47464</v>
      </c>
      <c r="O66" s="59">
        <f t="shared" si="2"/>
        <v>0</v>
      </c>
    </row>
    <row r="67" spans="1:15" s="59" customFormat="1" ht="17.399999999999999">
      <c r="A67" s="241">
        <f t="shared" si="4"/>
        <v>43</v>
      </c>
      <c r="B67" s="288" t="s">
        <v>172</v>
      </c>
      <c r="C67" s="293" t="s">
        <v>147</v>
      </c>
      <c r="D67" s="145" t="s">
        <v>296</v>
      </c>
      <c r="E67" s="247">
        <v>112603663</v>
      </c>
      <c r="F67" s="248">
        <v>13</v>
      </c>
      <c r="G67" s="101" t="s">
        <v>7</v>
      </c>
      <c r="H67" s="102">
        <v>5445</v>
      </c>
      <c r="I67" s="189">
        <f t="shared" si="0"/>
        <v>70785</v>
      </c>
      <c r="J67" s="24">
        <v>17</v>
      </c>
      <c r="K67" s="103">
        <f t="shared" si="1"/>
        <v>221</v>
      </c>
      <c r="L67" s="242"/>
      <c r="M67" s="214"/>
      <c r="N67" s="214">
        <f>VLOOKUP(C67,'[5]CMA Change 1 Coating Paint'!$C$20:$J$148,8,0)</f>
        <v>5445</v>
      </c>
      <c r="O67" s="59">
        <f t="shared" si="2"/>
        <v>0</v>
      </c>
    </row>
    <row r="68" spans="1:15" s="59" customFormat="1" ht="17.399999999999999">
      <c r="A68" s="241">
        <f t="shared" si="4"/>
        <v>44</v>
      </c>
      <c r="B68" s="288" t="s">
        <v>173</v>
      </c>
      <c r="C68" s="293" t="s">
        <v>148</v>
      </c>
      <c r="D68" s="145" t="s">
        <v>317</v>
      </c>
      <c r="E68" s="247" t="s">
        <v>232</v>
      </c>
      <c r="F68" s="248">
        <v>10</v>
      </c>
      <c r="G68" s="101" t="s">
        <v>7</v>
      </c>
      <c r="H68" s="102">
        <v>13225</v>
      </c>
      <c r="I68" s="189">
        <f t="shared" si="0"/>
        <v>132250</v>
      </c>
      <c r="J68" s="24">
        <v>41</v>
      </c>
      <c r="K68" s="103">
        <f t="shared" si="1"/>
        <v>410</v>
      </c>
      <c r="L68" s="242"/>
      <c r="M68" s="214"/>
      <c r="N68" s="214">
        <f>VLOOKUP(C68,'[5]CMA Change 1 Coating Paint'!$C$20:$J$148,8,0)</f>
        <v>13225</v>
      </c>
      <c r="O68" s="59">
        <f t="shared" si="2"/>
        <v>0</v>
      </c>
    </row>
    <row r="69" spans="1:15" s="59" customFormat="1" ht="17.399999999999999">
      <c r="A69" s="241">
        <f t="shared" si="4"/>
        <v>45</v>
      </c>
      <c r="B69" s="288" t="s">
        <v>188</v>
      </c>
      <c r="C69" s="293" t="s">
        <v>206</v>
      </c>
      <c r="D69" s="145" t="s">
        <v>318</v>
      </c>
      <c r="E69" s="247">
        <v>112604328</v>
      </c>
      <c r="F69" s="248">
        <v>10</v>
      </c>
      <c r="G69" s="101" t="s">
        <v>7</v>
      </c>
      <c r="H69" s="102">
        <v>12202</v>
      </c>
      <c r="I69" s="189">
        <f t="shared" si="0"/>
        <v>122020</v>
      </c>
      <c r="J69" s="24">
        <v>37</v>
      </c>
      <c r="K69" s="103">
        <f t="shared" si="1"/>
        <v>370</v>
      </c>
      <c r="L69" s="242"/>
      <c r="M69" s="214"/>
      <c r="N69" s="214">
        <f>VLOOKUP(C69,'[5]CMA Change 1 Coating Paint'!$C$20:$J$148,8,0)</f>
        <v>12202</v>
      </c>
      <c r="O69" s="59">
        <f t="shared" si="2"/>
        <v>0</v>
      </c>
    </row>
    <row r="70" spans="1:15" s="59" customFormat="1" ht="17.399999999999999">
      <c r="A70" s="241">
        <f t="shared" si="4"/>
        <v>46</v>
      </c>
      <c r="B70" s="288" t="s">
        <v>142</v>
      </c>
      <c r="C70" s="293" t="s">
        <v>149</v>
      </c>
      <c r="D70" s="145" t="s">
        <v>291</v>
      </c>
      <c r="E70" s="247">
        <v>112603663</v>
      </c>
      <c r="F70" s="248">
        <v>15</v>
      </c>
      <c r="G70" s="101" t="s">
        <v>7</v>
      </c>
      <c r="H70" s="102">
        <v>15040</v>
      </c>
      <c r="I70" s="189">
        <f t="shared" si="0"/>
        <v>225600</v>
      </c>
      <c r="J70" s="24">
        <v>48</v>
      </c>
      <c r="K70" s="103">
        <f t="shared" si="1"/>
        <v>720</v>
      </c>
      <c r="L70" s="242"/>
      <c r="M70" s="214"/>
      <c r="N70" s="214">
        <f>VLOOKUP(C70,'[5]CMA Change 1 Coating Paint'!$C$20:$J$148,8,0)</f>
        <v>15040</v>
      </c>
      <c r="O70" s="59">
        <f t="shared" si="2"/>
        <v>0</v>
      </c>
    </row>
    <row r="71" spans="1:15" s="59" customFormat="1" ht="17.399999999999999">
      <c r="A71" s="241">
        <f t="shared" si="4"/>
        <v>47</v>
      </c>
      <c r="B71" s="288" t="s">
        <v>174</v>
      </c>
      <c r="C71" s="293" t="s">
        <v>150</v>
      </c>
      <c r="D71" s="145" t="s">
        <v>294</v>
      </c>
      <c r="E71" s="247" t="s">
        <v>233</v>
      </c>
      <c r="F71" s="248">
        <v>19</v>
      </c>
      <c r="G71" s="101" t="s">
        <v>7</v>
      </c>
      <c r="H71" s="102">
        <v>14140</v>
      </c>
      <c r="I71" s="189">
        <f t="shared" si="0"/>
        <v>268660</v>
      </c>
      <c r="J71" s="24">
        <v>45</v>
      </c>
      <c r="K71" s="103">
        <f t="shared" si="1"/>
        <v>855</v>
      </c>
      <c r="L71" s="242"/>
      <c r="M71" s="214"/>
      <c r="N71" s="214">
        <f>VLOOKUP(C71,'[5]CMA Change 1 Coating Paint'!$C$20:$J$148,8,0)</f>
        <v>14140</v>
      </c>
      <c r="O71" s="59">
        <f t="shared" si="2"/>
        <v>0</v>
      </c>
    </row>
    <row r="72" spans="1:15" s="59" customFormat="1" ht="17.399999999999999">
      <c r="A72" s="241">
        <f t="shared" si="4"/>
        <v>48</v>
      </c>
      <c r="B72" s="288" t="s">
        <v>189</v>
      </c>
      <c r="C72" s="293" t="s">
        <v>200</v>
      </c>
      <c r="D72" s="145" t="s">
        <v>293</v>
      </c>
      <c r="E72" s="247" t="s">
        <v>234</v>
      </c>
      <c r="F72" s="248">
        <v>12</v>
      </c>
      <c r="G72" s="101" t="s">
        <v>7</v>
      </c>
      <c r="H72" s="102">
        <v>9087</v>
      </c>
      <c r="I72" s="189">
        <f t="shared" si="0"/>
        <v>109044</v>
      </c>
      <c r="J72" s="24">
        <v>29</v>
      </c>
      <c r="K72" s="103">
        <f t="shared" si="1"/>
        <v>348</v>
      </c>
      <c r="L72" s="242"/>
      <c r="M72" s="214"/>
      <c r="N72" s="214">
        <f>VLOOKUP(C72,'[5]CMA Change 1 Coating Paint'!$C$20:$J$148,8,0)</f>
        <v>9087</v>
      </c>
      <c r="O72" s="59">
        <f t="shared" si="2"/>
        <v>0</v>
      </c>
    </row>
    <row r="73" spans="1:15" s="59" customFormat="1" ht="17.399999999999999">
      <c r="A73" s="241">
        <f t="shared" si="4"/>
        <v>49</v>
      </c>
      <c r="B73" s="288" t="s">
        <v>143</v>
      </c>
      <c r="C73" s="293" t="s">
        <v>151</v>
      </c>
      <c r="D73" s="145" t="s">
        <v>293</v>
      </c>
      <c r="E73" s="247">
        <v>112604328</v>
      </c>
      <c r="F73" s="248">
        <v>5</v>
      </c>
      <c r="G73" s="101" t="s">
        <v>7</v>
      </c>
      <c r="H73" s="102">
        <v>6580</v>
      </c>
      <c r="I73" s="189">
        <f t="shared" si="0"/>
        <v>32900</v>
      </c>
      <c r="J73" s="24">
        <v>21</v>
      </c>
      <c r="K73" s="103">
        <f t="shared" si="1"/>
        <v>105</v>
      </c>
      <c r="L73" s="242"/>
      <c r="M73" s="214"/>
      <c r="N73" s="214">
        <f>VLOOKUP(C73,'[5]CMA Change 1 Coating Paint'!$C$20:$J$148,8,0)</f>
        <v>6580</v>
      </c>
      <c r="O73" s="59">
        <f t="shared" si="2"/>
        <v>0</v>
      </c>
    </row>
    <row r="74" spans="1:15" s="59" customFormat="1" ht="17.399999999999999">
      <c r="A74" s="241">
        <f t="shared" si="4"/>
        <v>50</v>
      </c>
      <c r="B74" s="288" t="s">
        <v>190</v>
      </c>
      <c r="C74" s="293" t="s">
        <v>207</v>
      </c>
      <c r="D74" s="145" t="s">
        <v>319</v>
      </c>
      <c r="E74" s="247">
        <v>112604328</v>
      </c>
      <c r="F74" s="248">
        <v>10</v>
      </c>
      <c r="G74" s="101" t="s">
        <v>7</v>
      </c>
      <c r="H74" s="102">
        <v>11470</v>
      </c>
      <c r="I74" s="189">
        <f t="shared" si="0"/>
        <v>114700</v>
      </c>
      <c r="J74" s="24">
        <v>36</v>
      </c>
      <c r="K74" s="103">
        <f t="shared" si="1"/>
        <v>360</v>
      </c>
      <c r="L74" s="242"/>
      <c r="M74" s="214"/>
      <c r="N74" s="214">
        <f>VLOOKUP(C74,'[5]CMA Change 1 Coating Paint'!$C$20:$J$148,8,0)</f>
        <v>11470</v>
      </c>
      <c r="O74" s="59">
        <f t="shared" si="2"/>
        <v>0</v>
      </c>
    </row>
    <row r="75" spans="1:15" s="59" customFormat="1" ht="17.399999999999999">
      <c r="A75" s="241">
        <f t="shared" si="4"/>
        <v>51</v>
      </c>
      <c r="B75" s="288" t="s">
        <v>191</v>
      </c>
      <c r="C75" s="293" t="s">
        <v>276</v>
      </c>
      <c r="D75" s="145" t="s">
        <v>320</v>
      </c>
      <c r="E75" s="247">
        <v>112603650</v>
      </c>
      <c r="F75" s="248">
        <v>10</v>
      </c>
      <c r="G75" s="101" t="s">
        <v>7</v>
      </c>
      <c r="H75" s="102">
        <v>30429</v>
      </c>
      <c r="I75" s="189">
        <f t="shared" si="0"/>
        <v>304290</v>
      </c>
      <c r="J75" s="24">
        <v>43</v>
      </c>
      <c r="K75" s="103">
        <f t="shared" si="1"/>
        <v>430</v>
      </c>
      <c r="L75" s="242"/>
      <c r="M75" s="214"/>
      <c r="N75" s="214" t="e">
        <f>VLOOKUP(C75,'[5]CMA Change 1 Coating Paint'!$C$20:$J$148,8,0)</f>
        <v>#N/A</v>
      </c>
      <c r="O75" s="59" t="e">
        <f t="shared" si="2"/>
        <v>#N/A</v>
      </c>
    </row>
    <row r="76" spans="1:15" s="59" customFormat="1" ht="17.399999999999999">
      <c r="A76" s="241">
        <f t="shared" si="4"/>
        <v>52</v>
      </c>
      <c r="B76" s="288" t="s">
        <v>192</v>
      </c>
      <c r="C76" s="293" t="s">
        <v>277</v>
      </c>
      <c r="D76" s="145" t="s">
        <v>321</v>
      </c>
      <c r="E76" s="247">
        <v>112603658</v>
      </c>
      <c r="F76" s="248">
        <v>10</v>
      </c>
      <c r="G76" s="101" t="s">
        <v>7</v>
      </c>
      <c r="H76" s="102">
        <v>26286</v>
      </c>
      <c r="I76" s="189">
        <f t="shared" si="0"/>
        <v>262860</v>
      </c>
      <c r="J76" s="24">
        <v>38</v>
      </c>
      <c r="K76" s="103">
        <f t="shared" si="1"/>
        <v>380</v>
      </c>
      <c r="L76" s="242"/>
      <c r="M76" s="214"/>
      <c r="N76" s="214" t="e">
        <f>VLOOKUP(C76,'[5]CMA Change 1 Coating Paint'!$C$20:$J$148,8,0)</f>
        <v>#N/A</v>
      </c>
      <c r="O76" s="59" t="e">
        <f t="shared" si="2"/>
        <v>#N/A</v>
      </c>
    </row>
    <row r="77" spans="1:15" s="59" customFormat="1" ht="17.399999999999999">
      <c r="A77" s="241">
        <f t="shared" si="4"/>
        <v>53</v>
      </c>
      <c r="B77" s="288" t="s">
        <v>193</v>
      </c>
      <c r="C77" s="293" t="s">
        <v>278</v>
      </c>
      <c r="D77" s="145" t="s">
        <v>294</v>
      </c>
      <c r="E77" s="247">
        <v>112604331</v>
      </c>
      <c r="F77" s="248">
        <v>6</v>
      </c>
      <c r="G77" s="101" t="s">
        <v>7</v>
      </c>
      <c r="H77" s="102">
        <v>33918</v>
      </c>
      <c r="I77" s="189">
        <f t="shared" si="0"/>
        <v>203508</v>
      </c>
      <c r="J77" s="24">
        <v>57</v>
      </c>
      <c r="K77" s="103">
        <f t="shared" si="1"/>
        <v>342</v>
      </c>
      <c r="L77" s="242"/>
      <c r="M77" s="214"/>
      <c r="N77" s="214">
        <v>33918</v>
      </c>
      <c r="O77" s="59">
        <f t="shared" si="2"/>
        <v>0</v>
      </c>
    </row>
    <row r="78" spans="1:15" s="59" customFormat="1" ht="17.399999999999999">
      <c r="A78" s="241">
        <f t="shared" si="4"/>
        <v>54</v>
      </c>
      <c r="B78" s="288" t="s">
        <v>194</v>
      </c>
      <c r="C78" s="293" t="s">
        <v>279</v>
      </c>
      <c r="D78" s="145" t="s">
        <v>322</v>
      </c>
      <c r="E78" s="247">
        <v>112604331</v>
      </c>
      <c r="F78" s="248">
        <v>6</v>
      </c>
      <c r="G78" s="101" t="s">
        <v>7</v>
      </c>
      <c r="H78" s="102">
        <v>23134</v>
      </c>
      <c r="I78" s="189">
        <f t="shared" si="0"/>
        <v>138804</v>
      </c>
      <c r="J78" s="24">
        <v>23</v>
      </c>
      <c r="K78" s="103">
        <f t="shared" si="1"/>
        <v>138</v>
      </c>
      <c r="L78" s="242"/>
      <c r="M78" s="214"/>
      <c r="N78" s="214">
        <v>23134</v>
      </c>
      <c r="O78" s="59">
        <f t="shared" si="2"/>
        <v>0</v>
      </c>
    </row>
    <row r="79" spans="1:15" s="59" customFormat="1" ht="17.399999999999999">
      <c r="A79" s="241">
        <f t="shared" si="4"/>
        <v>55</v>
      </c>
      <c r="B79" s="288" t="s">
        <v>195</v>
      </c>
      <c r="C79" s="293" t="s">
        <v>280</v>
      </c>
      <c r="D79" s="145" t="s">
        <v>291</v>
      </c>
      <c r="E79" s="247">
        <v>112604331</v>
      </c>
      <c r="F79" s="248">
        <v>6</v>
      </c>
      <c r="G79" s="101" t="s">
        <v>7</v>
      </c>
      <c r="H79" s="102">
        <v>43794</v>
      </c>
      <c r="I79" s="189">
        <f t="shared" si="0"/>
        <v>262764</v>
      </c>
      <c r="J79" s="24">
        <v>64</v>
      </c>
      <c r="K79" s="103">
        <f t="shared" si="1"/>
        <v>384</v>
      </c>
      <c r="L79" s="242"/>
      <c r="M79" s="214"/>
      <c r="N79" s="214">
        <v>43794</v>
      </c>
      <c r="O79" s="59">
        <f t="shared" si="2"/>
        <v>0</v>
      </c>
    </row>
    <row r="80" spans="1:15" s="59" customFormat="1" ht="17.399999999999999">
      <c r="A80" s="241">
        <f t="shared" si="4"/>
        <v>56</v>
      </c>
      <c r="B80" s="288" t="s">
        <v>196</v>
      </c>
      <c r="C80" s="293" t="s">
        <v>281</v>
      </c>
      <c r="D80" s="145" t="s">
        <v>293</v>
      </c>
      <c r="E80" s="247">
        <v>112604331</v>
      </c>
      <c r="F80" s="248">
        <v>6</v>
      </c>
      <c r="G80" s="101" t="s">
        <v>7</v>
      </c>
      <c r="H80" s="102">
        <v>29592</v>
      </c>
      <c r="I80" s="189">
        <f t="shared" si="0"/>
        <v>177552</v>
      </c>
      <c r="J80" s="24">
        <v>40</v>
      </c>
      <c r="K80" s="103">
        <f t="shared" si="1"/>
        <v>240</v>
      </c>
      <c r="L80" s="242"/>
      <c r="M80" s="214"/>
      <c r="N80" s="214">
        <v>29592</v>
      </c>
      <c r="O80" s="59">
        <f t="shared" si="2"/>
        <v>0</v>
      </c>
    </row>
    <row r="81" spans="1:15" s="59" customFormat="1" ht="17.399999999999999">
      <c r="A81" s="246">
        <f t="shared" si="4"/>
        <v>57</v>
      </c>
      <c r="B81" s="289" t="s">
        <v>197</v>
      </c>
      <c r="C81" s="293" t="s">
        <v>282</v>
      </c>
      <c r="D81" s="145" t="s">
        <v>323</v>
      </c>
      <c r="E81" s="247">
        <v>112604331</v>
      </c>
      <c r="F81" s="248">
        <v>6</v>
      </c>
      <c r="G81" s="101" t="s">
        <v>7</v>
      </c>
      <c r="H81" s="102">
        <v>25395</v>
      </c>
      <c r="I81" s="189">
        <f t="shared" si="0"/>
        <v>152370</v>
      </c>
      <c r="J81" s="24">
        <v>27</v>
      </c>
      <c r="K81" s="103">
        <f t="shared" si="1"/>
        <v>162</v>
      </c>
      <c r="L81" s="242"/>
      <c r="M81" s="214"/>
      <c r="N81" s="214">
        <v>25395</v>
      </c>
      <c r="O81" s="59">
        <f t="shared" si="2"/>
        <v>0</v>
      </c>
    </row>
    <row r="82" spans="1:15" s="72" customFormat="1" thickBot="1">
      <c r="A82" s="374" t="s">
        <v>51</v>
      </c>
      <c r="B82" s="375"/>
      <c r="C82" s="375"/>
      <c r="D82" s="376"/>
      <c r="E82" s="22"/>
      <c r="F82" s="286">
        <f>SUM(F25:F81)</f>
        <v>706</v>
      </c>
      <c r="G82" s="199" t="s">
        <v>7</v>
      </c>
      <c r="H82" s="203"/>
      <c r="I82" s="216">
        <f>SUM(I25:I81)</f>
        <v>29511940</v>
      </c>
      <c r="J82" s="24"/>
      <c r="K82" s="103">
        <f>SUM(K25:K81)</f>
        <v>83191</v>
      </c>
      <c r="L82" s="105"/>
      <c r="M82" s="106"/>
      <c r="N82" s="106"/>
      <c r="O82" s="59">
        <f t="shared" ref="O82" si="5">H82-N82</f>
        <v>0</v>
      </c>
    </row>
    <row r="83" spans="1:15" s="72" customFormat="1" thickTop="1">
      <c r="A83" s="107"/>
      <c r="B83" s="107"/>
      <c r="C83" s="107"/>
      <c r="D83" s="107"/>
      <c r="E83" s="23"/>
      <c r="F83" s="290"/>
      <c r="G83" s="108"/>
      <c r="H83" s="109"/>
      <c r="I83" s="217"/>
      <c r="J83" s="24"/>
      <c r="K83" s="103"/>
      <c r="L83" s="105"/>
      <c r="M83" s="106"/>
      <c r="N83" s="106"/>
      <c r="O83" s="59"/>
    </row>
    <row r="84" spans="1:15" s="72" customFormat="1" ht="17.399999999999999">
      <c r="A84" s="107"/>
      <c r="B84" s="107"/>
      <c r="C84" s="107"/>
      <c r="D84" s="107"/>
      <c r="E84" s="23"/>
      <c r="F84" s="290"/>
      <c r="G84" s="108"/>
      <c r="H84" s="109"/>
      <c r="I84" s="217"/>
      <c r="J84" s="24"/>
      <c r="K84" s="103"/>
      <c r="L84" s="105"/>
      <c r="M84" s="106"/>
      <c r="N84" s="106"/>
      <c r="O84" s="59"/>
    </row>
    <row r="85" spans="1:15" s="72" customFormat="1" ht="17.399999999999999">
      <c r="A85" s="107"/>
      <c r="B85" s="107"/>
      <c r="C85" s="107"/>
      <c r="D85" s="107"/>
      <c r="E85" s="23"/>
      <c r="F85" s="290"/>
      <c r="G85" s="108"/>
      <c r="H85" s="109"/>
      <c r="I85" s="217"/>
      <c r="J85" s="24"/>
      <c r="K85" s="103"/>
      <c r="L85" s="105"/>
      <c r="M85" s="106"/>
      <c r="N85" s="106"/>
      <c r="O85" s="59"/>
    </row>
    <row r="86" spans="1:15" s="72" customFormat="1" ht="17.399999999999999">
      <c r="A86" s="107"/>
      <c r="B86" s="107"/>
      <c r="C86" s="107"/>
      <c r="D86" s="107"/>
      <c r="E86" s="23"/>
      <c r="F86" s="290"/>
      <c r="G86" s="108"/>
      <c r="H86" s="109"/>
      <c r="I86" s="217"/>
      <c r="J86" s="24"/>
      <c r="K86" s="103"/>
      <c r="L86" s="105"/>
      <c r="M86" s="106"/>
      <c r="N86" s="106"/>
      <c r="O86" s="59"/>
    </row>
    <row r="87" spans="1:15" s="72" customFormat="1" ht="17.399999999999999">
      <c r="A87" s="107"/>
      <c r="B87" s="107"/>
      <c r="C87" s="107"/>
      <c r="D87" s="107"/>
      <c r="E87" s="23"/>
      <c r="F87" s="290"/>
      <c r="G87" s="108"/>
      <c r="H87" s="109"/>
      <c r="I87" s="217"/>
      <c r="J87" s="24"/>
      <c r="K87" s="103"/>
      <c r="L87" s="105"/>
      <c r="M87" s="106"/>
      <c r="N87" s="106"/>
      <c r="O87" s="59"/>
    </row>
    <row r="88" spans="1:15" s="72" customFormat="1" ht="17.399999999999999">
      <c r="A88" s="107"/>
      <c r="B88" s="107"/>
      <c r="C88" s="107"/>
      <c r="D88" s="107"/>
      <c r="E88" s="23"/>
      <c r="F88" s="290"/>
      <c r="G88" s="108"/>
      <c r="H88" s="109"/>
      <c r="I88" s="217"/>
      <c r="J88" s="24"/>
      <c r="K88" s="103"/>
      <c r="L88" s="105"/>
      <c r="M88" s="106"/>
      <c r="N88" s="106"/>
      <c r="O88" s="59"/>
    </row>
    <row r="89" spans="1:15" s="72" customFormat="1" ht="17.399999999999999">
      <c r="A89" s="107"/>
      <c r="B89" s="107"/>
      <c r="C89" s="107"/>
      <c r="D89" s="107"/>
      <c r="E89" s="23"/>
      <c r="F89" s="290"/>
      <c r="G89" s="108"/>
      <c r="H89" s="109"/>
      <c r="I89" s="217"/>
      <c r="J89" s="24"/>
      <c r="K89" s="103"/>
      <c r="L89" s="105"/>
      <c r="M89" s="106"/>
      <c r="N89" s="106"/>
      <c r="O89" s="59"/>
    </row>
    <row r="90" spans="1:15" s="72" customFormat="1" ht="17.399999999999999">
      <c r="A90" s="107"/>
      <c r="B90" s="107"/>
      <c r="C90" s="107"/>
      <c r="D90" s="107"/>
      <c r="E90" s="23"/>
      <c r="F90" s="290"/>
      <c r="G90" s="108"/>
      <c r="H90" s="109"/>
      <c r="I90" s="217"/>
      <c r="J90" s="24"/>
      <c r="K90" s="103"/>
      <c r="L90" s="105"/>
      <c r="M90" s="106"/>
      <c r="N90" s="106"/>
      <c r="O90" s="59"/>
    </row>
    <row r="91" spans="1:15" s="72" customFormat="1" ht="17.399999999999999">
      <c r="A91" s="107"/>
      <c r="B91" s="107"/>
      <c r="C91" s="107"/>
      <c r="D91" s="107"/>
      <c r="E91" s="23"/>
      <c r="F91" s="290"/>
      <c r="G91" s="108"/>
      <c r="H91" s="109"/>
      <c r="I91" s="217"/>
      <c r="J91" s="24"/>
      <c r="K91" s="103"/>
      <c r="L91" s="105"/>
      <c r="M91" s="106"/>
      <c r="N91" s="106"/>
      <c r="O91" s="59"/>
    </row>
    <row r="92" spans="1:15" s="72" customFormat="1" ht="17.399999999999999">
      <c r="A92" s="107"/>
      <c r="B92" s="107"/>
      <c r="C92" s="107"/>
      <c r="D92" s="107"/>
      <c r="E92" s="23"/>
      <c r="F92" s="290"/>
      <c r="G92" s="108"/>
      <c r="H92" s="109"/>
      <c r="I92" s="217"/>
      <c r="J92" s="24"/>
      <c r="K92" s="103"/>
      <c r="L92" s="105"/>
      <c r="M92" s="106"/>
      <c r="N92" s="106"/>
      <c r="O92" s="59"/>
    </row>
    <row r="93" spans="1:15" s="72" customFormat="1" ht="17.399999999999999">
      <c r="A93" s="107"/>
      <c r="B93" s="107"/>
      <c r="C93" s="107"/>
      <c r="D93" s="107"/>
      <c r="E93" s="23"/>
      <c r="F93" s="290"/>
      <c r="G93" s="108"/>
      <c r="H93" s="109"/>
      <c r="I93" s="217"/>
      <c r="J93" s="24"/>
      <c r="K93" s="103"/>
      <c r="L93" s="105"/>
      <c r="M93" s="106"/>
      <c r="N93" s="106"/>
      <c r="O93" s="59"/>
    </row>
    <row r="94" spans="1:15" s="72" customFormat="1" ht="17.399999999999999">
      <c r="A94" s="107"/>
      <c r="B94" s="107"/>
      <c r="C94" s="107"/>
      <c r="D94" s="107"/>
      <c r="E94" s="23"/>
      <c r="F94" s="290"/>
      <c r="G94" s="108"/>
      <c r="H94" s="109"/>
      <c r="I94" s="217"/>
      <c r="J94" s="24"/>
      <c r="K94" s="103"/>
      <c r="L94" s="105"/>
      <c r="M94" s="106"/>
      <c r="N94" s="106"/>
      <c r="O94" s="59"/>
    </row>
    <row r="95" spans="1:15" s="72" customFormat="1" ht="17.399999999999999">
      <c r="A95" s="107"/>
      <c r="B95" s="107"/>
      <c r="C95" s="107"/>
      <c r="D95" s="107"/>
      <c r="E95" s="23"/>
      <c r="F95" s="290"/>
      <c r="G95" s="108"/>
      <c r="H95" s="109"/>
      <c r="I95" s="217"/>
      <c r="J95" s="24"/>
      <c r="K95" s="103"/>
      <c r="L95" s="105"/>
      <c r="M95" s="106"/>
      <c r="N95" s="106"/>
      <c r="O95" s="59"/>
    </row>
    <row r="96" spans="1:15" s="72" customFormat="1" ht="17.399999999999999">
      <c r="A96" s="107"/>
      <c r="B96" s="107"/>
      <c r="C96" s="107"/>
      <c r="D96" s="107"/>
      <c r="E96" s="23"/>
      <c r="F96" s="283"/>
      <c r="G96" s="108"/>
      <c r="H96" s="109"/>
      <c r="I96" s="217"/>
      <c r="J96" s="24"/>
      <c r="K96" s="103"/>
      <c r="L96" s="105"/>
      <c r="M96" s="106"/>
      <c r="N96" s="106"/>
      <c r="O96" s="59"/>
    </row>
    <row r="97" spans="1:26" s="59" customFormat="1" ht="17.399999999999999">
      <c r="A97" s="373" t="s">
        <v>20</v>
      </c>
      <c r="B97" s="373"/>
      <c r="C97" s="373"/>
      <c r="D97" s="373"/>
      <c r="E97" s="90"/>
      <c r="F97" s="378" t="s">
        <v>19</v>
      </c>
      <c r="G97" s="378"/>
      <c r="H97" s="378"/>
      <c r="I97" s="378"/>
      <c r="J97" s="24"/>
      <c r="K97" s="25"/>
      <c r="L97" s="104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s="59" customFormat="1" ht="17.399999999999999">
      <c r="A98" s="67"/>
      <c r="B98" s="266"/>
      <c r="C98" s="67"/>
      <c r="D98" s="67"/>
      <c r="E98" s="90"/>
      <c r="F98" s="57"/>
      <c r="H98" s="110"/>
      <c r="I98" s="58"/>
      <c r="J98" s="24"/>
      <c r="K98" s="25"/>
      <c r="L98" s="104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s="59" customFormat="1" ht="17.399999999999999">
      <c r="B99" s="133"/>
      <c r="C99" s="111"/>
      <c r="E99" s="90"/>
      <c r="F99" s="57"/>
      <c r="H99" s="110"/>
      <c r="I99" s="58"/>
      <c r="J99" s="24"/>
      <c r="K99" s="62"/>
      <c r="L99" s="63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s="59" customFormat="1" ht="17.399999999999999">
      <c r="B100" s="267"/>
      <c r="D100" s="112"/>
      <c r="E100" s="32"/>
      <c r="F100" s="113"/>
      <c r="G100" s="114"/>
      <c r="H100" s="115"/>
      <c r="I100" s="32"/>
      <c r="J100" s="116"/>
      <c r="K100" s="30"/>
      <c r="L100" s="117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s="59" customFormat="1" ht="6.75" customHeight="1">
      <c r="B101" s="370"/>
      <c r="C101" s="370"/>
      <c r="E101" s="32"/>
      <c r="F101" s="113"/>
      <c r="G101" s="370"/>
      <c r="H101" s="370"/>
      <c r="I101" s="118"/>
      <c r="J101" s="89"/>
      <c r="K101" s="62"/>
      <c r="L101" s="63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s="59" customFormat="1">
      <c r="B102" s="370"/>
      <c r="C102" s="370"/>
      <c r="D102" s="119"/>
      <c r="E102" s="119"/>
      <c r="F102" s="371" t="s">
        <v>119</v>
      </c>
      <c r="G102" s="371"/>
      <c r="H102" s="371"/>
      <c r="I102" s="371"/>
      <c r="J102" s="61"/>
      <c r="K102" s="62"/>
      <c r="L102" s="63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s="59" customFormat="1">
      <c r="A103" s="120"/>
      <c r="B103" s="268"/>
      <c r="C103" s="120"/>
      <c r="D103" s="120"/>
      <c r="E103" s="120"/>
      <c r="F103" s="377" t="s">
        <v>120</v>
      </c>
      <c r="G103" s="377"/>
      <c r="H103" s="377"/>
      <c r="I103" s="377"/>
      <c r="J103" s="61"/>
      <c r="K103" s="62"/>
      <c r="L103" s="63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s="59" customFormat="1" ht="17.399999999999999">
      <c r="A104" s="121"/>
      <c r="B104" s="269"/>
      <c r="C104" s="120"/>
      <c r="D104" s="121"/>
      <c r="E104" s="121"/>
      <c r="F104" s="113"/>
      <c r="G104" s="114"/>
      <c r="H104" s="115"/>
      <c r="I104" s="32"/>
      <c r="J104" s="61"/>
      <c r="K104" s="62"/>
      <c r="L104" s="63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s="59" customFormat="1" ht="17.399999999999999">
      <c r="B105" s="129"/>
      <c r="C105" s="120"/>
      <c r="E105" s="67"/>
      <c r="H105" s="104"/>
      <c r="K105" s="62"/>
      <c r="L105" s="63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s="59" customFormat="1" ht="17.399999999999999">
      <c r="B106" s="129"/>
      <c r="C106" s="120"/>
      <c r="H106" s="104"/>
      <c r="K106" s="62"/>
      <c r="L106" s="63"/>
      <c r="M106" s="61"/>
      <c r="N106" s="61"/>
      <c r="O106" s="61"/>
      <c r="P106" s="61"/>
      <c r="Q106" s="61"/>
      <c r="R106" s="61"/>
      <c r="S106" s="61"/>
      <c r="T106" s="61"/>
      <c r="U106" s="61">
        <v>13</v>
      </c>
      <c r="V106" s="61"/>
      <c r="W106" s="61"/>
      <c r="X106" s="61"/>
      <c r="Y106" s="61"/>
      <c r="Z106" s="61"/>
    </row>
    <row r="107" spans="1:26" s="59" customFormat="1" ht="19.5" customHeight="1">
      <c r="B107" s="129"/>
      <c r="C107" s="120"/>
      <c r="H107" s="104"/>
      <c r="K107" s="62"/>
      <c r="L107" s="63"/>
      <c r="M107" s="61"/>
      <c r="N107" s="61"/>
      <c r="O107" s="61"/>
      <c r="P107" s="61"/>
      <c r="Q107" s="61"/>
      <c r="R107" s="61"/>
      <c r="S107" s="61"/>
      <c r="T107" s="61"/>
      <c r="U107" s="61">
        <v>13</v>
      </c>
      <c r="V107" s="61"/>
      <c r="W107" s="61"/>
      <c r="X107" s="61"/>
      <c r="Y107" s="61"/>
      <c r="Z107" s="61"/>
    </row>
    <row r="108" spans="1:26" s="59" customFormat="1" ht="19.5" customHeight="1">
      <c r="B108" s="129"/>
      <c r="C108" s="120"/>
      <c r="H108" s="104"/>
      <c r="K108" s="62"/>
      <c r="L108" s="63"/>
      <c r="M108" s="61"/>
      <c r="N108" s="61"/>
      <c r="O108" s="61"/>
      <c r="P108" s="61"/>
      <c r="Q108" s="61"/>
      <c r="R108" s="61"/>
      <c r="S108" s="61"/>
      <c r="T108" s="61"/>
      <c r="U108" s="61">
        <v>13</v>
      </c>
      <c r="V108" s="61"/>
      <c r="W108" s="61"/>
      <c r="X108" s="61"/>
      <c r="Y108" s="61"/>
      <c r="Z108" s="61"/>
    </row>
    <row r="109" spans="1:26" s="59" customFormat="1" ht="17.399999999999999">
      <c r="B109" s="129"/>
      <c r="C109" s="120"/>
      <c r="H109" s="104"/>
      <c r="K109" s="62"/>
      <c r="L109" s="63"/>
      <c r="M109" s="61"/>
      <c r="N109" s="61"/>
      <c r="O109" s="61"/>
      <c r="P109" s="61"/>
      <c r="Q109" s="61"/>
      <c r="R109" s="61"/>
      <c r="S109" s="61"/>
      <c r="T109" s="61"/>
      <c r="U109" s="61">
        <v>13</v>
      </c>
      <c r="V109" s="61"/>
      <c r="W109" s="61"/>
      <c r="X109" s="61"/>
      <c r="Y109" s="61"/>
      <c r="Z109" s="61"/>
    </row>
    <row r="110" spans="1:26" s="59" customFormat="1" ht="6.75" customHeight="1">
      <c r="B110" s="129"/>
      <c r="C110" s="120"/>
      <c r="H110" s="104"/>
      <c r="K110" s="62"/>
      <c r="L110" s="63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5" customHeight="1">
      <c r="B111" s="270"/>
      <c r="C111" s="33"/>
      <c r="D111" s="34"/>
      <c r="E111" s="34"/>
      <c r="G111" s="26"/>
      <c r="I111" s="26"/>
      <c r="J111" s="3"/>
      <c r="K111" s="35"/>
      <c r="L111" s="8"/>
      <c r="M111" s="3"/>
      <c r="N111" s="3"/>
      <c r="O111" s="3"/>
      <c r="P111" s="3"/>
      <c r="Q111" s="3"/>
      <c r="R111" s="3"/>
      <c r="S111" s="3"/>
      <c r="T111" s="3"/>
      <c r="U111" s="3">
        <v>4</v>
      </c>
      <c r="V111" s="3"/>
      <c r="W111" s="3"/>
      <c r="X111" s="3"/>
      <c r="Y111" s="3"/>
      <c r="Z111" s="3"/>
    </row>
    <row r="112" spans="1:26" ht="15" customHeight="1">
      <c r="B112" s="270"/>
      <c r="C112" s="33"/>
      <c r="D112" s="34"/>
      <c r="E112" s="34"/>
      <c r="F112" s="26"/>
      <c r="G112" s="26"/>
      <c r="H112" s="29"/>
      <c r="I112" s="26"/>
      <c r="J112" s="3"/>
      <c r="K112" s="35"/>
      <c r="L112" s="8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customHeight="1">
      <c r="B113" s="270"/>
      <c r="C113" s="33"/>
      <c r="D113" s="34"/>
      <c r="E113" s="34"/>
      <c r="F113" s="26"/>
      <c r="G113" s="26"/>
      <c r="H113" s="29"/>
      <c r="I113" s="26"/>
      <c r="J113" s="3"/>
      <c r="K113" s="35"/>
      <c r="L113" s="8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customHeight="1">
      <c r="B114" s="271"/>
      <c r="C114" s="33"/>
      <c r="D114" s="34"/>
      <c r="E114" s="34"/>
      <c r="F114" s="26"/>
      <c r="G114" s="26"/>
      <c r="H114" s="29"/>
      <c r="I114" s="26"/>
      <c r="J114" s="3"/>
      <c r="K114" s="35"/>
      <c r="L114" s="8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customHeight="1">
      <c r="B115" s="271"/>
      <c r="C115" s="33"/>
      <c r="D115" s="34"/>
      <c r="E115" s="34"/>
      <c r="F115" s="26"/>
      <c r="G115" s="26"/>
      <c r="H115" s="29"/>
      <c r="I115" s="26"/>
      <c r="J115" s="3"/>
      <c r="K115" s="35"/>
      <c r="M115" s="3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customHeight="1">
      <c r="B116" s="271"/>
      <c r="C116" s="34"/>
      <c r="D116" s="34"/>
      <c r="E116" s="34"/>
      <c r="F116" s="26"/>
      <c r="G116" s="26"/>
      <c r="H116" s="29"/>
      <c r="I116" s="26"/>
      <c r="J116" s="3"/>
      <c r="K116" s="35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customHeight="1">
      <c r="B117" s="271"/>
      <c r="D117" s="34"/>
      <c r="E117" s="34"/>
      <c r="F117" s="26"/>
      <c r="G117" s="26"/>
      <c r="H117" s="29"/>
      <c r="I117" s="26"/>
      <c r="M117" s="37"/>
    </row>
    <row r="118" spans="1:26" ht="15" customHeight="1">
      <c r="B118" s="271"/>
      <c r="D118" s="34"/>
      <c r="E118" s="34"/>
      <c r="F118" s="26"/>
      <c r="G118" s="26"/>
      <c r="H118" s="29"/>
      <c r="I118" s="26"/>
      <c r="J118" s="3"/>
      <c r="K118" s="35"/>
      <c r="L118" s="8"/>
      <c r="M118" s="3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customHeight="1">
      <c r="B119" s="271"/>
      <c r="D119" s="34"/>
      <c r="E119" s="34"/>
      <c r="F119" s="26"/>
      <c r="G119" s="26"/>
      <c r="H119" s="29"/>
      <c r="I119" s="26"/>
      <c r="J119" s="3"/>
      <c r="K119" s="35"/>
      <c r="M119" s="3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B120" s="271"/>
      <c r="D120" s="34"/>
      <c r="E120" s="34"/>
      <c r="F120" s="26"/>
      <c r="G120" s="26"/>
      <c r="H120" s="29"/>
      <c r="I120" s="26"/>
      <c r="J120" s="3"/>
      <c r="K120" s="35"/>
      <c r="M120" s="3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B121" s="271"/>
      <c r="D121" s="34"/>
      <c r="E121" s="34"/>
      <c r="F121" s="26"/>
      <c r="G121" s="26"/>
      <c r="H121" s="29"/>
      <c r="I121" s="26"/>
      <c r="J121" s="3"/>
      <c r="K121" s="35"/>
      <c r="M121" s="3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8"/>
      <c r="B122" s="272"/>
      <c r="D122" s="9"/>
      <c r="E122" s="9"/>
      <c r="F122" s="9"/>
      <c r="G122" s="9"/>
      <c r="H122" s="39"/>
      <c r="I122" s="9"/>
      <c r="J122" s="3"/>
      <c r="K122" s="35"/>
      <c r="M122" s="3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customHeight="1">
      <c r="A123" s="9"/>
      <c r="B123" s="272"/>
      <c r="C123" s="26"/>
      <c r="D123" s="9"/>
      <c r="E123" s="9"/>
      <c r="F123" s="9"/>
      <c r="G123" s="9"/>
      <c r="H123" s="39"/>
      <c r="I123" s="9"/>
      <c r="M123" s="37"/>
    </row>
    <row r="124" spans="1:26" ht="15" customHeight="1">
      <c r="A124" s="9"/>
      <c r="B124" s="272"/>
      <c r="C124" s="26"/>
      <c r="D124" s="9"/>
      <c r="E124" s="9"/>
      <c r="F124" s="9"/>
      <c r="G124" s="9"/>
      <c r="H124" s="39"/>
      <c r="I124" s="9"/>
      <c r="M124" s="37"/>
    </row>
    <row r="125" spans="1:26" ht="15" customHeight="1">
      <c r="A125" s="38"/>
      <c r="B125" s="273"/>
      <c r="C125" s="26"/>
      <c r="D125" s="10"/>
      <c r="E125" s="10"/>
      <c r="F125" s="10"/>
      <c r="G125" s="10"/>
      <c r="H125" s="11"/>
      <c r="I125" s="10"/>
      <c r="M125" s="37"/>
    </row>
    <row r="126" spans="1:26" ht="15" customHeight="1">
      <c r="B126" s="262"/>
      <c r="C126" s="26"/>
      <c r="H126" s="15"/>
      <c r="I126" s="17"/>
      <c r="M126" s="37"/>
    </row>
    <row r="127" spans="1:26" ht="15" customHeight="1">
      <c r="C127" s="26"/>
      <c r="D127" s="1"/>
      <c r="H127" s="13"/>
      <c r="I127" s="14"/>
      <c r="J127" s="3"/>
      <c r="K127" s="35"/>
      <c r="M127" s="3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customHeight="1">
      <c r="B128" s="275"/>
      <c r="C128" s="26"/>
      <c r="H128" s="15"/>
      <c r="I128" s="17"/>
      <c r="J128" s="3"/>
      <c r="K128" s="35"/>
      <c r="M128" s="3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customHeight="1">
      <c r="B129" s="275"/>
      <c r="C129" s="26"/>
      <c r="H129" s="13"/>
      <c r="I129" s="16"/>
      <c r="J129" s="3"/>
      <c r="K129" s="35"/>
      <c r="M129" s="3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customHeight="1">
      <c r="B130" s="275"/>
      <c r="C130" s="26"/>
      <c r="H130" s="15"/>
      <c r="I130" s="17"/>
      <c r="J130" s="3"/>
      <c r="K130" s="35"/>
      <c r="M130" s="3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1.25" customHeight="1">
      <c r="C131" s="26"/>
      <c r="D131" s="9"/>
      <c r="E131" s="9"/>
      <c r="H131" s="39"/>
      <c r="I131" s="9"/>
      <c r="M131" s="37"/>
    </row>
    <row r="132" spans="1:26" ht="15" customHeight="1">
      <c r="A132" s="41"/>
      <c r="B132" s="271"/>
      <c r="C132" s="26"/>
      <c r="D132" s="34"/>
      <c r="E132" s="34"/>
      <c r="F132" s="26"/>
      <c r="G132" s="26"/>
      <c r="H132" s="29"/>
      <c r="I132" s="26"/>
      <c r="L132" s="42"/>
      <c r="M132" s="37"/>
    </row>
    <row r="133" spans="1:26">
      <c r="A133" s="10"/>
      <c r="B133" s="272"/>
      <c r="C133" s="26"/>
      <c r="D133" s="10"/>
      <c r="E133" s="10"/>
      <c r="F133" s="371"/>
      <c r="G133" s="371"/>
      <c r="H133" s="43"/>
      <c r="I133" s="31"/>
    </row>
    <row r="134" spans="1:26">
      <c r="B134" s="272"/>
      <c r="C134" s="38"/>
      <c r="D134" s="8"/>
      <c r="E134" s="44"/>
      <c r="F134" s="44"/>
      <c r="G134" s="31"/>
      <c r="H134" s="45"/>
      <c r="I134" s="44"/>
    </row>
    <row r="135" spans="1:26">
      <c r="B135" s="272"/>
      <c r="C135" s="9"/>
      <c r="D135" s="8"/>
      <c r="E135" s="44"/>
      <c r="F135" s="44"/>
      <c r="G135" s="31"/>
      <c r="H135" s="45"/>
      <c r="I135" s="44"/>
    </row>
    <row r="136" spans="1:26">
      <c r="A136" s="19"/>
      <c r="B136" s="276"/>
      <c r="C136" s="9"/>
      <c r="D136" s="7"/>
      <c r="E136" s="7"/>
      <c r="F136" s="18"/>
      <c r="G136" s="7"/>
      <c r="H136" s="46"/>
      <c r="I136" s="47"/>
    </row>
    <row r="137" spans="1:26">
      <c r="A137" s="19"/>
      <c r="B137" s="276"/>
      <c r="C137" s="40"/>
      <c r="D137" s="7"/>
      <c r="E137" s="7"/>
      <c r="F137" s="18"/>
      <c r="G137" s="7"/>
      <c r="H137" s="46"/>
      <c r="I137" s="47"/>
    </row>
    <row r="138" spans="1:26" ht="19.5" customHeight="1">
      <c r="A138" s="19"/>
      <c r="B138" s="276"/>
      <c r="C138" s="2"/>
      <c r="D138" s="7"/>
      <c r="E138" s="7"/>
      <c r="F138" s="18"/>
      <c r="G138" s="7"/>
      <c r="H138" s="46"/>
      <c r="I138" s="47"/>
    </row>
    <row r="139" spans="1:26" ht="19.5" customHeight="1">
      <c r="A139" s="19"/>
      <c r="B139" s="276"/>
      <c r="C139" s="7"/>
      <c r="D139" s="7"/>
      <c r="E139" s="7"/>
      <c r="F139" s="18"/>
      <c r="G139" s="7"/>
      <c r="H139" s="46"/>
      <c r="I139" s="47"/>
    </row>
    <row r="140" spans="1:26" ht="19.5" customHeight="1">
      <c r="A140" s="19"/>
      <c r="B140" s="276"/>
      <c r="D140" s="368"/>
      <c r="E140" s="368"/>
      <c r="F140" s="18"/>
      <c r="G140" s="7"/>
      <c r="H140" s="46"/>
      <c r="I140" s="47"/>
    </row>
    <row r="141" spans="1:26" ht="19.5" customHeight="1">
      <c r="A141" s="19"/>
      <c r="B141" s="276"/>
      <c r="D141" s="7"/>
      <c r="E141" s="7"/>
      <c r="F141" s="18"/>
      <c r="G141" s="7"/>
      <c r="H141" s="46"/>
      <c r="I141" s="47"/>
    </row>
    <row r="142" spans="1:26" ht="19.5" customHeight="1">
      <c r="A142" s="19"/>
      <c r="B142" s="276"/>
      <c r="D142" s="7"/>
      <c r="E142" s="7"/>
      <c r="F142" s="18"/>
      <c r="G142" s="7"/>
      <c r="H142" s="46"/>
      <c r="I142" s="47"/>
    </row>
    <row r="143" spans="1:26" ht="19.5" customHeight="1">
      <c r="A143" s="19"/>
      <c r="B143" s="276"/>
      <c r="C143" s="9"/>
      <c r="E143" s="34"/>
      <c r="F143" s="18"/>
      <c r="G143" s="7"/>
      <c r="H143" s="46"/>
      <c r="I143" s="47"/>
    </row>
    <row r="144" spans="1:26" ht="19.5" customHeight="1">
      <c r="A144" s="19"/>
      <c r="B144" s="276"/>
      <c r="C144" s="26"/>
      <c r="E144" s="34"/>
      <c r="F144" s="18"/>
      <c r="G144" s="7"/>
      <c r="H144" s="46"/>
      <c r="I144" s="47"/>
    </row>
    <row r="145" spans="1:9" ht="19.5" customHeight="1">
      <c r="A145" s="19"/>
      <c r="B145" s="276"/>
      <c r="C145" s="10"/>
      <c r="E145" s="34"/>
      <c r="F145" s="18"/>
      <c r="G145" s="7"/>
      <c r="H145" s="46"/>
      <c r="I145" s="47"/>
    </row>
    <row r="146" spans="1:9" ht="19.5" customHeight="1">
      <c r="A146" s="19"/>
      <c r="B146" s="276"/>
      <c r="C146" s="9"/>
      <c r="E146" s="34"/>
      <c r="F146" s="18"/>
      <c r="G146" s="7"/>
      <c r="H146" s="46"/>
      <c r="I146" s="47"/>
    </row>
    <row r="147" spans="1:9" ht="19.5" customHeight="1">
      <c r="A147" s="19"/>
      <c r="B147" s="276"/>
      <c r="C147" s="9"/>
      <c r="E147" s="34"/>
      <c r="F147" s="18"/>
      <c r="G147" s="7"/>
      <c r="H147" s="46"/>
      <c r="I147" s="47"/>
    </row>
    <row r="148" spans="1:9" ht="19.5" customHeight="1">
      <c r="A148" s="19"/>
      <c r="B148" s="276"/>
      <c r="C148" s="8"/>
      <c r="D148" s="7"/>
      <c r="E148" s="7"/>
      <c r="F148" s="18"/>
      <c r="G148" s="7"/>
      <c r="H148" s="46"/>
      <c r="I148" s="47"/>
    </row>
    <row r="149" spans="1:9" ht="19.5" customHeight="1">
      <c r="A149" s="19"/>
      <c r="B149" s="276"/>
      <c r="C149" s="8"/>
      <c r="E149" s="34"/>
      <c r="F149" s="18"/>
      <c r="G149" s="7"/>
      <c r="H149" s="46"/>
      <c r="I149" s="47"/>
    </row>
    <row r="150" spans="1:9" ht="19.5" customHeight="1">
      <c r="A150" s="19"/>
      <c r="B150" s="276"/>
      <c r="C150" s="8"/>
      <c r="D150" s="7"/>
      <c r="E150" s="7"/>
      <c r="F150" s="18"/>
      <c r="G150" s="7"/>
      <c r="H150" s="46"/>
      <c r="I150" s="47"/>
    </row>
    <row r="151" spans="1:9">
      <c r="A151" s="19"/>
      <c r="B151" s="276"/>
      <c r="C151" s="8"/>
      <c r="D151" s="7"/>
      <c r="E151" s="27"/>
      <c r="F151" s="18"/>
      <c r="G151" s="7"/>
      <c r="H151" s="46"/>
      <c r="I151" s="47"/>
    </row>
    <row r="152" spans="1:9">
      <c r="A152" s="19"/>
      <c r="B152" s="276"/>
      <c r="C152" s="26"/>
      <c r="D152" s="7"/>
      <c r="E152" s="27"/>
      <c r="F152" s="18"/>
      <c r="G152" s="7"/>
      <c r="H152" s="46"/>
      <c r="I152" s="47"/>
    </row>
    <row r="153" spans="1:9">
      <c r="A153" s="19"/>
      <c r="B153" s="276"/>
      <c r="C153" s="8"/>
      <c r="D153" s="7"/>
      <c r="E153" s="27"/>
      <c r="F153" s="18"/>
      <c r="G153" s="7"/>
      <c r="H153" s="46"/>
      <c r="I153" s="47"/>
    </row>
    <row r="154" spans="1:9">
      <c r="A154" s="19"/>
      <c r="B154" s="276"/>
      <c r="C154" s="8"/>
      <c r="D154" s="7"/>
      <c r="E154" s="27"/>
      <c r="F154" s="18"/>
      <c r="G154" s="7"/>
      <c r="H154" s="46"/>
      <c r="I154" s="47"/>
    </row>
    <row r="155" spans="1:9">
      <c r="A155" s="19"/>
      <c r="B155" s="276"/>
      <c r="C155" s="26"/>
      <c r="E155" s="34"/>
      <c r="F155" s="18"/>
      <c r="G155" s="7"/>
      <c r="H155" s="46"/>
      <c r="I155" s="47"/>
    </row>
    <row r="156" spans="1:9">
      <c r="A156" s="19"/>
      <c r="B156" s="276"/>
      <c r="C156" s="26"/>
      <c r="D156" s="7"/>
      <c r="E156" s="7"/>
      <c r="F156" s="18"/>
      <c r="G156" s="7"/>
      <c r="H156" s="46"/>
      <c r="I156" s="47"/>
    </row>
    <row r="157" spans="1:9">
      <c r="B157" s="277"/>
      <c r="C157" s="26"/>
      <c r="D157" s="10"/>
      <c r="E157" s="10"/>
      <c r="F157" s="48"/>
      <c r="G157" s="49"/>
      <c r="H157" s="50"/>
      <c r="I157" s="48"/>
    </row>
    <row r="158" spans="1:9">
      <c r="C158" s="26"/>
    </row>
    <row r="159" spans="1:9">
      <c r="C159" s="26"/>
    </row>
    <row r="160" spans="1:9">
      <c r="C160" s="8"/>
    </row>
    <row r="161" spans="2:9">
      <c r="C161" s="26"/>
    </row>
    <row r="162" spans="2:9">
      <c r="C162" s="8"/>
    </row>
    <row r="163" spans="2:9">
      <c r="C163" s="26"/>
    </row>
    <row r="164" spans="2:9">
      <c r="C164" s="26"/>
    </row>
    <row r="165" spans="2:9">
      <c r="C165" s="26"/>
      <c r="F165" s="8"/>
      <c r="G165" s="8"/>
      <c r="H165" s="46"/>
      <c r="I165" s="51"/>
    </row>
    <row r="166" spans="2:9">
      <c r="C166" s="26"/>
      <c r="F166" s="8"/>
      <c r="G166" s="8"/>
      <c r="H166" s="46"/>
      <c r="I166" s="51"/>
    </row>
    <row r="167" spans="2:9">
      <c r="C167" s="26"/>
      <c r="F167" s="8"/>
      <c r="G167" s="8"/>
      <c r="H167" s="46"/>
      <c r="I167" s="51"/>
    </row>
    <row r="168" spans="2:9">
      <c r="C168" s="8"/>
      <c r="F168" s="8"/>
      <c r="G168" s="8"/>
      <c r="H168" s="46"/>
      <c r="I168" s="51"/>
    </row>
    <row r="169" spans="2:9">
      <c r="C169" s="31"/>
      <c r="F169" s="8"/>
      <c r="G169" s="8"/>
      <c r="H169" s="46"/>
      <c r="I169" s="51"/>
    </row>
    <row r="170" spans="2:9">
      <c r="F170" s="8"/>
      <c r="G170" s="8"/>
      <c r="H170" s="46"/>
      <c r="I170" s="51"/>
    </row>
    <row r="171" spans="2:9">
      <c r="F171" s="8"/>
      <c r="G171" s="8"/>
      <c r="H171" s="46"/>
      <c r="I171" s="51"/>
    </row>
    <row r="172" spans="2:9">
      <c r="F172" s="8"/>
      <c r="G172" s="8"/>
      <c r="H172" s="46"/>
      <c r="I172" s="51"/>
    </row>
    <row r="173" spans="2:9">
      <c r="F173" s="8"/>
      <c r="G173" s="8"/>
      <c r="H173" s="46"/>
      <c r="I173" s="51"/>
    </row>
    <row r="174" spans="2:9">
      <c r="F174" s="8"/>
      <c r="G174" s="8"/>
      <c r="H174" s="46"/>
      <c r="I174" s="51"/>
    </row>
    <row r="175" spans="2:9">
      <c r="B175" s="278"/>
      <c r="D175" s="53"/>
      <c r="E175" s="53"/>
      <c r="F175" s="54"/>
      <c r="G175" s="54"/>
      <c r="H175" s="55"/>
      <c r="I175" s="56"/>
    </row>
    <row r="187" spans="3:3">
      <c r="C187" s="52"/>
    </row>
    <row r="482" spans="1:12" s="6" customFormat="1">
      <c r="A482" s="3"/>
      <c r="B482" s="274"/>
      <c r="C482" s="3"/>
      <c r="D482" s="3"/>
      <c r="E482" s="3"/>
      <c r="F482" s="3"/>
      <c r="G482" s="3"/>
      <c r="H482" s="21"/>
      <c r="I482" s="3"/>
      <c r="K482" s="4"/>
      <c r="L482" s="5"/>
    </row>
    <row r="483" spans="1:12" s="6" customFormat="1">
      <c r="A483" s="3"/>
      <c r="B483" s="274"/>
      <c r="C483" s="3"/>
      <c r="D483" s="3"/>
      <c r="E483" s="3"/>
      <c r="F483" s="3"/>
      <c r="G483" s="3"/>
      <c r="H483" s="21"/>
      <c r="I483" s="3"/>
      <c r="K483" s="4"/>
      <c r="L483" s="5"/>
    </row>
    <row r="484" spans="1:12" s="6" customFormat="1">
      <c r="A484" s="3"/>
      <c r="B484" s="274"/>
      <c r="C484" s="3"/>
      <c r="D484" s="3"/>
      <c r="E484" s="3"/>
      <c r="F484" s="3"/>
      <c r="G484" s="3"/>
      <c r="H484" s="21"/>
      <c r="I484" s="3"/>
      <c r="K484" s="4"/>
      <c r="L484" s="5"/>
    </row>
    <row r="485" spans="1:12" s="6" customFormat="1">
      <c r="A485" s="3"/>
      <c r="B485" s="274"/>
      <c r="C485" s="3"/>
      <c r="D485" s="3"/>
      <c r="E485" s="3"/>
      <c r="F485" s="3"/>
      <c r="G485" s="3"/>
      <c r="H485" s="21"/>
      <c r="I485" s="3"/>
      <c r="K485" s="4"/>
      <c r="L485" s="5"/>
    </row>
    <row r="486" spans="1:12" s="6" customFormat="1">
      <c r="A486" s="3"/>
      <c r="B486" s="274"/>
      <c r="C486" s="3"/>
      <c r="D486" s="3"/>
      <c r="E486" s="3"/>
      <c r="F486" s="3"/>
      <c r="G486" s="3"/>
      <c r="H486" s="21"/>
      <c r="I486" s="3"/>
      <c r="K486" s="4"/>
      <c r="L486" s="5"/>
    </row>
    <row r="487" spans="1:12" s="6" customFormat="1">
      <c r="A487" s="3"/>
      <c r="B487" s="274"/>
      <c r="C487" s="3"/>
      <c r="D487" s="3"/>
      <c r="E487" s="3"/>
      <c r="F487" s="3"/>
      <c r="G487" s="3"/>
      <c r="H487" s="21"/>
      <c r="I487" s="3"/>
      <c r="K487" s="4"/>
      <c r="L487" s="5"/>
    </row>
    <row r="488" spans="1:12" s="6" customFormat="1">
      <c r="A488" s="3"/>
      <c r="B488" s="274"/>
      <c r="C488" s="3"/>
      <c r="D488" s="3"/>
      <c r="E488" s="3"/>
      <c r="F488" s="3"/>
      <c r="G488" s="3"/>
      <c r="H488" s="21"/>
      <c r="I488" s="3"/>
      <c r="K488" s="4"/>
      <c r="L488" s="5"/>
    </row>
    <row r="489" spans="1:12" s="6" customFormat="1">
      <c r="A489" s="3"/>
      <c r="B489" s="274"/>
      <c r="C489" s="3"/>
      <c r="D489" s="3"/>
      <c r="E489" s="3"/>
      <c r="F489" s="3"/>
      <c r="G489" s="3"/>
      <c r="H489" s="21"/>
      <c r="I489" s="3"/>
      <c r="K489" s="4"/>
      <c r="L489" s="5"/>
    </row>
    <row r="490" spans="1:12" s="6" customFormat="1">
      <c r="A490" s="3"/>
      <c r="B490" s="274"/>
      <c r="C490" s="3"/>
      <c r="D490" s="3"/>
      <c r="E490" s="3"/>
      <c r="F490" s="3"/>
      <c r="G490" s="3"/>
      <c r="H490" s="21"/>
      <c r="I490" s="3"/>
      <c r="K490" s="4"/>
      <c r="L490" s="5"/>
    </row>
    <row r="491" spans="1:12" s="6" customFormat="1">
      <c r="A491" s="3"/>
      <c r="B491" s="274"/>
      <c r="C491" s="3"/>
      <c r="D491" s="3"/>
      <c r="E491" s="3"/>
      <c r="F491" s="3"/>
      <c r="G491" s="3"/>
      <c r="H491" s="21"/>
      <c r="I491" s="3"/>
      <c r="K491" s="4"/>
      <c r="L491" s="5"/>
    </row>
    <row r="492" spans="1:12" s="6" customFormat="1">
      <c r="A492" s="3"/>
      <c r="B492" s="274"/>
      <c r="C492" s="3"/>
      <c r="D492" s="3"/>
      <c r="E492" s="3"/>
      <c r="F492" s="3"/>
      <c r="G492" s="3"/>
      <c r="H492" s="21"/>
      <c r="I492" s="3"/>
      <c r="K492" s="4"/>
      <c r="L492" s="5"/>
    </row>
    <row r="493" spans="1:12" s="6" customFormat="1">
      <c r="A493" s="3"/>
      <c r="B493" s="274"/>
      <c r="C493" s="3"/>
      <c r="D493" s="3"/>
      <c r="E493" s="3"/>
      <c r="F493" s="3"/>
      <c r="G493" s="3"/>
      <c r="H493" s="21"/>
      <c r="I493" s="3"/>
      <c r="K493" s="4"/>
      <c r="L493" s="5"/>
    </row>
    <row r="494" spans="1:12" s="6" customFormat="1">
      <c r="A494" s="3"/>
      <c r="B494" s="274"/>
      <c r="C494" s="3"/>
      <c r="D494" s="3"/>
      <c r="E494" s="3"/>
      <c r="F494" s="3"/>
      <c r="G494" s="3"/>
      <c r="H494" s="21"/>
      <c r="I494" s="3"/>
      <c r="K494" s="4"/>
      <c r="L494" s="5"/>
    </row>
    <row r="495" spans="1:12" s="6" customFormat="1">
      <c r="A495" s="3"/>
      <c r="B495" s="274"/>
      <c r="C495" s="3"/>
      <c r="D495" s="3"/>
      <c r="E495" s="3"/>
      <c r="F495" s="3"/>
      <c r="G495" s="3"/>
      <c r="H495" s="21"/>
      <c r="I495" s="3"/>
      <c r="K495" s="4"/>
      <c r="L495" s="5"/>
    </row>
    <row r="496" spans="1:12" s="6" customFormat="1">
      <c r="A496" s="3"/>
      <c r="B496" s="274"/>
      <c r="C496" s="3"/>
      <c r="D496" s="3"/>
      <c r="E496" s="3"/>
      <c r="F496" s="3"/>
      <c r="G496" s="3"/>
      <c r="H496" s="21"/>
      <c r="I496" s="3"/>
      <c r="K496" s="4"/>
      <c r="L496" s="5"/>
    </row>
    <row r="497" spans="1:12" s="6" customFormat="1">
      <c r="A497" s="3"/>
      <c r="B497" s="274"/>
      <c r="C497" s="3"/>
      <c r="D497" s="3"/>
      <c r="E497" s="3"/>
      <c r="F497" s="3"/>
      <c r="G497" s="3"/>
      <c r="H497" s="21"/>
      <c r="I497" s="3"/>
      <c r="K497" s="4"/>
      <c r="L497" s="5"/>
    </row>
    <row r="498" spans="1:12" s="6" customFormat="1">
      <c r="A498" s="3"/>
      <c r="B498" s="274"/>
      <c r="C498" s="3"/>
      <c r="D498" s="3"/>
      <c r="E498" s="3"/>
      <c r="F498" s="3"/>
      <c r="G498" s="3"/>
      <c r="H498" s="21"/>
      <c r="I498" s="3"/>
      <c r="K498" s="4"/>
      <c r="L498" s="5"/>
    </row>
    <row r="499" spans="1:12" s="6" customFormat="1">
      <c r="A499" s="3"/>
      <c r="B499" s="274"/>
      <c r="C499" s="3"/>
      <c r="D499" s="3"/>
      <c r="E499" s="3"/>
      <c r="F499" s="3"/>
      <c r="G499" s="3"/>
      <c r="H499" s="21"/>
      <c r="I499" s="3"/>
      <c r="K499" s="4"/>
      <c r="L499" s="5"/>
    </row>
  </sheetData>
  <autoFilter ref="A24:Z122" xr:uid="{00000000-0009-0000-0000-000000000000}"/>
  <mergeCells count="14">
    <mergeCell ref="A5:I5"/>
    <mergeCell ref="C22:F22"/>
    <mergeCell ref="D140:E140"/>
    <mergeCell ref="F23:G23"/>
    <mergeCell ref="G101:H101"/>
    <mergeCell ref="F133:G133"/>
    <mergeCell ref="A23:D23"/>
    <mergeCell ref="B101:C101"/>
    <mergeCell ref="A97:D97"/>
    <mergeCell ref="B102:C102"/>
    <mergeCell ref="A82:D82"/>
    <mergeCell ref="F102:I102"/>
    <mergeCell ref="F103:I103"/>
    <mergeCell ref="F97:I97"/>
  </mergeCells>
  <conditionalFormatting sqref="D25:D81">
    <cfRule type="expression" dxfId="15" priority="92">
      <formula>IF($H25="machining",1,0)</formula>
    </cfRule>
  </conditionalFormatting>
  <conditionalFormatting sqref="C25:C81">
    <cfRule type="expression" dxfId="14" priority="1">
      <formula>IF($J25="machining",1,0)</formula>
    </cfRule>
  </conditionalFormatting>
  <dataValidations count="1">
    <dataValidation type="list" allowBlank="1" showInputMessage="1" showErrorMessage="1" sqref="E16" xr:uid="{00000000-0002-0000-0000-000000000000}">
      <formula1>"Ocean freight,By Truck,Air Freight"</formula1>
    </dataValidation>
  </dataValidations>
  <printOptions horizontalCentered="1"/>
  <pageMargins left="0.35433070866141703" right="0.23622047244094499" top="0.39370078740157499" bottom="0.45" header="0.35433070866141703" footer="0.18"/>
  <pageSetup paperSize="9" scale="78" orientation="portrait" cellComments="asDisplayed" errors="blank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C68D-589F-40B6-955A-F1052055898E}">
  <sheetPr>
    <pageSetUpPr fitToPage="1"/>
  </sheetPr>
  <dimension ref="B1:O217"/>
  <sheetViews>
    <sheetView topLeftCell="A48" zoomScale="60" zoomScaleNormal="60" workbookViewId="0">
      <selection activeCell="M3" sqref="M3:N59"/>
    </sheetView>
  </sheetViews>
  <sheetFormatPr defaultColWidth="9.109375" defaultRowHeight="30.75" customHeight="1"/>
  <cols>
    <col min="1" max="1" width="9.109375" style="337" customWidth="1"/>
    <col min="2" max="2" width="22.5546875" style="359" customWidth="1"/>
    <col min="3" max="3" width="31.33203125" style="337" customWidth="1"/>
    <col min="4" max="4" width="27.88671875" style="337" customWidth="1"/>
    <col min="5" max="5" width="16.109375" style="337" customWidth="1"/>
    <col min="6" max="6" width="13.88671875" style="337" customWidth="1"/>
    <col min="7" max="7" width="13.5546875" style="337" customWidth="1"/>
    <col min="8" max="8" width="25.5546875" style="337" customWidth="1"/>
    <col min="9" max="9" width="13.33203125" style="337" customWidth="1"/>
    <col min="10" max="10" width="17.44140625" style="337" customWidth="1"/>
    <col min="11" max="11" width="36.5546875" style="337" customWidth="1"/>
    <col min="12" max="12" width="30.44140625" style="337" customWidth="1"/>
    <col min="13" max="13" width="11.5546875" style="337" customWidth="1"/>
    <col min="14" max="14" width="16.33203125" style="337" customWidth="1"/>
    <col min="15" max="16384" width="9.109375" style="337"/>
  </cols>
  <sheetData>
    <row r="1" spans="2:15" ht="30.75" customHeight="1">
      <c r="B1" s="336" t="s">
        <v>325</v>
      </c>
    </row>
    <row r="2" spans="2:15" ht="30.75" customHeight="1">
      <c r="B2" s="338" t="s">
        <v>326</v>
      </c>
      <c r="C2" s="338" t="s">
        <v>327</v>
      </c>
      <c r="D2" s="338" t="s">
        <v>328</v>
      </c>
      <c r="E2" s="339" t="s">
        <v>329</v>
      </c>
      <c r="F2" s="340" t="s">
        <v>330</v>
      </c>
      <c r="G2" s="340" t="s">
        <v>331</v>
      </c>
      <c r="H2" s="341" t="s">
        <v>332</v>
      </c>
      <c r="K2" s="342" t="s">
        <v>333</v>
      </c>
      <c r="L2" s="336" t="s">
        <v>334</v>
      </c>
      <c r="M2" s="337" t="s">
        <v>335</v>
      </c>
      <c r="N2" s="337" t="s">
        <v>336</v>
      </c>
      <c r="O2" s="337" t="s">
        <v>337</v>
      </c>
    </row>
    <row r="3" spans="2:15" ht="30.75" customHeight="1">
      <c r="B3" s="343" t="s">
        <v>338</v>
      </c>
      <c r="C3" s="343" t="s">
        <v>339</v>
      </c>
      <c r="D3" s="343" t="s">
        <v>340</v>
      </c>
      <c r="E3" s="343" t="str">
        <f>VLOOKUP(D3,[6]USE!A:D,2,0)</f>
        <v>000231</v>
      </c>
      <c r="F3" s="343" t="str">
        <f>VLOOKUP(D3,[6]USE!A:E,3,0)</f>
        <v>PCS</v>
      </c>
      <c r="G3" s="343" t="str">
        <f>VLOOKUP(D3,[6]USE!A:D,4,0)</f>
        <v>C62</v>
      </c>
      <c r="H3" s="343"/>
      <c r="K3" s="337" t="s">
        <v>283</v>
      </c>
      <c r="L3" s="361" t="str">
        <f t="shared" ref="L3:L32" si="0">VLOOKUP(K3,C:F,2,0)</f>
        <v>BODY</v>
      </c>
      <c r="M3" s="337" t="str">
        <f t="shared" ref="M3:M32" si="1">VLOOKUP(L3,D:G,4,0)</f>
        <v>C62</v>
      </c>
      <c r="N3" s="337" t="str">
        <f t="shared" ref="N3:N32" si="2">VLOOKUP(L3,D:H,2,0)</f>
        <v>000001</v>
      </c>
      <c r="O3" s="337">
        <f t="shared" ref="O3:O32" si="3">ROW(O1)</f>
        <v>1</v>
      </c>
    </row>
    <row r="4" spans="2:15" ht="30.75" customHeight="1">
      <c r="B4" s="343" t="s">
        <v>341</v>
      </c>
      <c r="C4" s="343" t="s">
        <v>297</v>
      </c>
      <c r="D4" s="343" t="s">
        <v>294</v>
      </c>
      <c r="E4" s="343" t="str">
        <f>VLOOKUP(D4,[6]USE!A:D,2,0)</f>
        <v>000206</v>
      </c>
      <c r="F4" s="343" t="str">
        <f>VLOOKUP(D4,[6]USE!A:E,3,0)</f>
        <v>PCS</v>
      </c>
      <c r="G4" s="343" t="str">
        <f>VLOOKUP(D4,[6]USE!A:D,4,0)</f>
        <v>C62</v>
      </c>
      <c r="H4" s="343"/>
      <c r="K4" s="337" t="s">
        <v>284</v>
      </c>
      <c r="L4" s="361" t="str">
        <f t="shared" si="0"/>
        <v>BED</v>
      </c>
      <c r="M4" s="337" t="str">
        <f t="shared" si="1"/>
        <v>C62</v>
      </c>
      <c r="N4" s="337" t="str">
        <f t="shared" si="2"/>
        <v>000173</v>
      </c>
      <c r="O4" s="337">
        <f t="shared" si="3"/>
        <v>2</v>
      </c>
    </row>
    <row r="5" spans="2:15" ht="30.75" customHeight="1">
      <c r="B5" s="343" t="s">
        <v>342</v>
      </c>
      <c r="C5" s="343" t="s">
        <v>343</v>
      </c>
      <c r="D5" s="343" t="s">
        <v>294</v>
      </c>
      <c r="E5" s="343" t="str">
        <f>VLOOKUP(D5,[6]USE!A:D,2,0)</f>
        <v>000206</v>
      </c>
      <c r="F5" s="343" t="str">
        <f>VLOOKUP(D5,[6]USE!A:E,3,0)</f>
        <v>PCS</v>
      </c>
      <c r="G5" s="343" t="str">
        <f>VLOOKUP(D5,[6]USE!A:D,4,0)</f>
        <v>C62</v>
      </c>
      <c r="H5" s="343"/>
      <c r="K5" s="337" t="s">
        <v>284</v>
      </c>
      <c r="L5" s="361" t="str">
        <f t="shared" si="0"/>
        <v>BED</v>
      </c>
      <c r="M5" s="337" t="str">
        <f t="shared" si="1"/>
        <v>C62</v>
      </c>
      <c r="N5" s="337" t="str">
        <f t="shared" si="2"/>
        <v>000173</v>
      </c>
      <c r="O5" s="337">
        <f t="shared" si="3"/>
        <v>3</v>
      </c>
    </row>
    <row r="6" spans="2:15" ht="30.75" customHeight="1">
      <c r="B6" s="343" t="s">
        <v>344</v>
      </c>
      <c r="C6" s="343" t="s">
        <v>345</v>
      </c>
      <c r="D6" s="343" t="s">
        <v>294</v>
      </c>
      <c r="E6" s="343" t="str">
        <f>VLOOKUP(D6,[6]USE!A:D,2,0)</f>
        <v>000206</v>
      </c>
      <c r="F6" s="343" t="str">
        <f>VLOOKUP(D6,[6]USE!A:E,3,0)</f>
        <v>PCS</v>
      </c>
      <c r="G6" s="343" t="str">
        <f>VLOOKUP(D6,[6]USE!A:D,4,0)</f>
        <v>C62</v>
      </c>
      <c r="H6" s="343"/>
      <c r="K6" s="337" t="s">
        <v>285</v>
      </c>
      <c r="L6" s="361" t="str">
        <f t="shared" si="0"/>
        <v>BED</v>
      </c>
      <c r="M6" s="337" t="str">
        <f t="shared" si="1"/>
        <v>C62</v>
      </c>
      <c r="N6" s="337" t="str">
        <f t="shared" si="2"/>
        <v>000173</v>
      </c>
      <c r="O6" s="337">
        <f t="shared" si="3"/>
        <v>4</v>
      </c>
    </row>
    <row r="7" spans="2:15" ht="30.75" customHeight="1">
      <c r="B7" s="343" t="s">
        <v>346</v>
      </c>
      <c r="C7" s="343" t="s">
        <v>292</v>
      </c>
      <c r="D7" s="343" t="s">
        <v>347</v>
      </c>
      <c r="E7" s="344" t="s">
        <v>348</v>
      </c>
      <c r="F7" s="343" t="str">
        <f>VLOOKUP(D7,[6]USE!A:E,3,0)</f>
        <v>PCS</v>
      </c>
      <c r="G7" s="343" t="str">
        <f>VLOOKUP(D7,[6]USE!A:D,4,0)</f>
        <v>C62</v>
      </c>
      <c r="H7" s="343"/>
      <c r="K7" s="337" t="s">
        <v>286</v>
      </c>
      <c r="L7" s="361" t="str">
        <f t="shared" si="0"/>
        <v>BED</v>
      </c>
      <c r="M7" s="337" t="str">
        <f t="shared" si="1"/>
        <v>C62</v>
      </c>
      <c r="N7" s="337" t="str">
        <f t="shared" si="2"/>
        <v>000173</v>
      </c>
      <c r="O7" s="337">
        <f t="shared" si="3"/>
        <v>5</v>
      </c>
    </row>
    <row r="8" spans="2:15" ht="30.75" customHeight="1">
      <c r="B8" s="345" t="s">
        <v>349</v>
      </c>
      <c r="C8" s="345" t="s">
        <v>350</v>
      </c>
      <c r="D8" s="345" t="s">
        <v>347</v>
      </c>
      <c r="E8" s="346" t="s">
        <v>348</v>
      </c>
      <c r="F8" s="345" t="str">
        <f>VLOOKUP(D8,[6]USE!A:E,3,0)</f>
        <v>PCS</v>
      </c>
      <c r="G8" s="345" t="str">
        <f>VLOOKUP(D8,[6]USE!A:D,4,0)</f>
        <v>C62</v>
      </c>
      <c r="H8" s="345"/>
      <c r="K8" s="337" t="s">
        <v>287</v>
      </c>
      <c r="L8" s="361" t="str">
        <f t="shared" si="0"/>
        <v>BED</v>
      </c>
      <c r="M8" s="337" t="str">
        <f t="shared" si="1"/>
        <v>C62</v>
      </c>
      <c r="N8" s="337" t="str">
        <f t="shared" si="2"/>
        <v>000173</v>
      </c>
      <c r="O8" s="337">
        <f>ROW(O6)</f>
        <v>6</v>
      </c>
    </row>
    <row r="9" spans="2:15" ht="30.75" customHeight="1">
      <c r="B9" s="347" t="s">
        <v>351</v>
      </c>
      <c r="C9" s="343" t="s">
        <v>352</v>
      </c>
      <c r="D9" s="343" t="s">
        <v>353</v>
      </c>
      <c r="E9" s="343" t="str">
        <f>VLOOKUP(D9,[6]USE!A:D,2,0)</f>
        <v>000173</v>
      </c>
      <c r="F9" s="343" t="str">
        <f>VLOOKUP(D9,[6]USE!A:E,3,0)</f>
        <v>PCS</v>
      </c>
      <c r="G9" s="343" t="str">
        <f>VLOOKUP(D9,[6]USE!A:D,4,0)</f>
        <v>C62</v>
      </c>
      <c r="H9" s="343"/>
      <c r="K9" s="337" t="s">
        <v>288</v>
      </c>
      <c r="L9" s="361" t="str">
        <f t="shared" si="0"/>
        <v>BED</v>
      </c>
      <c r="M9" s="337" t="str">
        <f t="shared" si="1"/>
        <v>C62</v>
      </c>
      <c r="N9" s="337" t="str">
        <f t="shared" si="2"/>
        <v>000173</v>
      </c>
      <c r="O9" s="337">
        <f>ROW(O6)</f>
        <v>6</v>
      </c>
    </row>
    <row r="10" spans="2:15" ht="30.75" customHeight="1">
      <c r="B10" s="347" t="s">
        <v>354</v>
      </c>
      <c r="C10" s="343" t="s">
        <v>352</v>
      </c>
      <c r="D10" s="343" t="s">
        <v>353</v>
      </c>
      <c r="E10" s="343" t="str">
        <f>VLOOKUP(D10,[6]USE!A:D,2,0)</f>
        <v>000173</v>
      </c>
      <c r="F10" s="343" t="str">
        <f>VLOOKUP(D10,[6]USE!A:E,3,0)</f>
        <v>PCS</v>
      </c>
      <c r="G10" s="343" t="str">
        <f>VLOOKUP(D10,[6]USE!A:D,4,0)</f>
        <v>C62</v>
      </c>
      <c r="H10" s="343"/>
      <c r="K10" s="337" t="s">
        <v>289</v>
      </c>
      <c r="L10" s="361" t="str">
        <f t="shared" si="0"/>
        <v>BED</v>
      </c>
      <c r="M10" s="337" t="str">
        <f t="shared" si="1"/>
        <v>C62</v>
      </c>
      <c r="N10" s="337" t="str">
        <f t="shared" si="2"/>
        <v>000173</v>
      </c>
      <c r="O10" s="337">
        <f>ROW(O7)</f>
        <v>7</v>
      </c>
    </row>
    <row r="11" spans="2:15" ht="30.75" customHeight="1">
      <c r="B11" s="347" t="s">
        <v>355</v>
      </c>
      <c r="C11" s="343" t="s">
        <v>286</v>
      </c>
      <c r="D11" s="343" t="s">
        <v>353</v>
      </c>
      <c r="E11" s="343" t="str">
        <f>VLOOKUP(D11,[6]USE!A:D,2,0)</f>
        <v>000173</v>
      </c>
      <c r="F11" s="343" t="str">
        <f>VLOOKUP(D11,[6]USE!A:E,3,0)</f>
        <v>PCS</v>
      </c>
      <c r="G11" s="343" t="str">
        <f>VLOOKUP(D11,[6]USE!A:D,4,0)</f>
        <v>C62</v>
      </c>
      <c r="H11" s="343"/>
      <c r="K11" s="337" t="s">
        <v>290</v>
      </c>
      <c r="L11" s="361" t="str">
        <f t="shared" si="0"/>
        <v>MOTOR BRACKET</v>
      </c>
      <c r="M11" s="337" t="str">
        <f t="shared" si="1"/>
        <v>C62</v>
      </c>
      <c r="N11" s="337" t="str">
        <f t="shared" si="2"/>
        <v>000003</v>
      </c>
      <c r="O11" s="337">
        <f t="shared" si="3"/>
        <v>9</v>
      </c>
    </row>
    <row r="12" spans="2:15" ht="30.75" customHeight="1">
      <c r="B12" s="343" t="s">
        <v>104</v>
      </c>
      <c r="C12" s="343" t="s">
        <v>284</v>
      </c>
      <c r="D12" s="343" t="s">
        <v>353</v>
      </c>
      <c r="E12" s="343" t="str">
        <f>VLOOKUP(D12,[6]USE!A:D,2,0)</f>
        <v>000173</v>
      </c>
      <c r="F12" s="343" t="str">
        <f>VLOOKUP(D12,[6]USE!A:E,3,0)</f>
        <v>PCS</v>
      </c>
      <c r="G12" s="343" t="str">
        <f>VLOOKUP(D12,[6]USE!A:D,4,0)</f>
        <v>C62</v>
      </c>
      <c r="H12" s="343"/>
      <c r="K12" s="337" t="s">
        <v>291</v>
      </c>
      <c r="L12" s="361" t="str">
        <f t="shared" si="0"/>
        <v>CROSS SLIDE</v>
      </c>
      <c r="M12" s="337" t="str">
        <f t="shared" si="1"/>
        <v>C62</v>
      </c>
      <c r="N12" s="337" t="str">
        <f t="shared" si="2"/>
        <v>000002</v>
      </c>
      <c r="O12" s="337">
        <f t="shared" si="3"/>
        <v>10</v>
      </c>
    </row>
    <row r="13" spans="2:15" ht="30.75" customHeight="1">
      <c r="B13" s="343" t="s">
        <v>356</v>
      </c>
      <c r="C13" s="343" t="s">
        <v>285</v>
      </c>
      <c r="D13" s="343" t="s">
        <v>353</v>
      </c>
      <c r="E13" s="343" t="str">
        <f>VLOOKUP(D13,[6]USE!A:D,2,0)</f>
        <v>000173</v>
      </c>
      <c r="F13" s="343" t="str">
        <f>VLOOKUP(D13,[6]USE!A:E,3,0)</f>
        <v>PCS</v>
      </c>
      <c r="G13" s="343" t="str">
        <f>VLOOKUP(D13,[6]USE!A:D,4,0)</f>
        <v>C62</v>
      </c>
      <c r="H13" s="343"/>
      <c r="K13" s="337" t="s">
        <v>291</v>
      </c>
      <c r="L13" s="361" t="str">
        <f t="shared" si="0"/>
        <v>CROSS SLIDE</v>
      </c>
      <c r="M13" s="337" t="str">
        <f t="shared" si="1"/>
        <v>C62</v>
      </c>
      <c r="N13" s="337" t="str">
        <f t="shared" si="2"/>
        <v>000002</v>
      </c>
      <c r="O13" s="337">
        <f t="shared" si="3"/>
        <v>11</v>
      </c>
    </row>
    <row r="14" spans="2:15" ht="30.75" customHeight="1">
      <c r="B14" s="343" t="s">
        <v>357</v>
      </c>
      <c r="C14" s="343" t="s">
        <v>288</v>
      </c>
      <c r="D14" s="343" t="s">
        <v>353</v>
      </c>
      <c r="E14" s="343" t="str">
        <f>VLOOKUP(D14,[6]USE!A:D,2,0)</f>
        <v>000173</v>
      </c>
      <c r="F14" s="343" t="str">
        <f>VLOOKUP(D14,[6]USE!A:E,3,0)</f>
        <v>PCS</v>
      </c>
      <c r="G14" s="343" t="str">
        <f>VLOOKUP(D14,[6]USE!A:D,4,0)</f>
        <v>C62</v>
      </c>
      <c r="H14" s="343"/>
      <c r="K14" s="337" t="s">
        <v>292</v>
      </c>
      <c r="L14" s="361" t="str">
        <f t="shared" si="0"/>
        <v>GUIDE BUSH BASE</v>
      </c>
      <c r="M14" s="337" t="str">
        <f t="shared" si="1"/>
        <v>C62</v>
      </c>
      <c r="N14" s="337" t="str">
        <f t="shared" si="2"/>
        <v>000213</v>
      </c>
      <c r="O14" s="337">
        <f t="shared" si="3"/>
        <v>12</v>
      </c>
    </row>
    <row r="15" spans="2:15" ht="30.75" customHeight="1">
      <c r="B15" s="343" t="s">
        <v>260</v>
      </c>
      <c r="C15" s="343" t="s">
        <v>287</v>
      </c>
      <c r="D15" s="343" t="s">
        <v>353</v>
      </c>
      <c r="E15" s="343" t="str">
        <f>VLOOKUP(D15,[6]USE!A:D,2,0)</f>
        <v>000173</v>
      </c>
      <c r="F15" s="343" t="str">
        <f>VLOOKUP(D15,[6]USE!A:E,3,0)</f>
        <v>PCS</v>
      </c>
      <c r="G15" s="343" t="str">
        <f>VLOOKUP(D15,[6]USE!A:D,4,0)</f>
        <v>C62</v>
      </c>
      <c r="H15" s="343"/>
      <c r="K15" s="337" t="s">
        <v>293</v>
      </c>
      <c r="L15" s="361" t="str">
        <f t="shared" si="0"/>
        <v>Z2 SLIDE</v>
      </c>
      <c r="M15" s="337" t="str">
        <f t="shared" si="1"/>
        <v>C62</v>
      </c>
      <c r="N15" s="337" t="str">
        <f t="shared" si="2"/>
        <v>000175</v>
      </c>
      <c r="O15" s="337">
        <f t="shared" si="3"/>
        <v>13</v>
      </c>
    </row>
    <row r="16" spans="2:15" ht="30.75" customHeight="1">
      <c r="B16" s="347" t="s">
        <v>358</v>
      </c>
      <c r="C16" s="343" t="s">
        <v>359</v>
      </c>
      <c r="D16" s="343" t="str">
        <f>VLOOKUP(B16,[7]IV!$B$21:$C$80,2,0)</f>
        <v>BLOCK</v>
      </c>
      <c r="E16" s="343" t="str">
        <f>VLOOKUP(D16,[6]USE!A:D,2,0)</f>
        <v>000013</v>
      </c>
      <c r="F16" s="343" t="str">
        <f>VLOOKUP(D16,[6]USE!A:E,3,0)</f>
        <v>PCS</v>
      </c>
      <c r="G16" s="343" t="str">
        <f>VLOOKUP(D16,[6]USE!A:D,4,0)</f>
        <v>C62</v>
      </c>
      <c r="H16" s="343"/>
      <c r="K16" s="337" t="s">
        <v>293</v>
      </c>
      <c r="L16" s="361" t="str">
        <f t="shared" si="0"/>
        <v>Z2 SLIDE</v>
      </c>
      <c r="M16" s="337" t="str">
        <f t="shared" si="1"/>
        <v>C62</v>
      </c>
      <c r="N16" s="337" t="str">
        <f t="shared" si="2"/>
        <v>000175</v>
      </c>
      <c r="O16" s="337">
        <f t="shared" si="3"/>
        <v>14</v>
      </c>
    </row>
    <row r="17" spans="2:15" ht="30.75" customHeight="1">
      <c r="B17" s="347" t="s">
        <v>360</v>
      </c>
      <c r="C17" s="343" t="s">
        <v>361</v>
      </c>
      <c r="D17" s="343" t="str">
        <f>VLOOKUP(B17,[7]IV!$B$21:$C$80,2,0)</f>
        <v>BRACKET</v>
      </c>
      <c r="E17" s="343" t="str">
        <f>VLOOKUP(D17,[6]USE!A:D,2,0)</f>
        <v>000006</v>
      </c>
      <c r="F17" s="343" t="str">
        <f>VLOOKUP(D17,[6]USE!A:E,3,0)</f>
        <v>PCS</v>
      </c>
      <c r="G17" s="343" t="str">
        <f>VLOOKUP(D17,[6]USE!A:D,4,0)</f>
        <v>C62</v>
      </c>
      <c r="H17" s="343"/>
      <c r="K17" s="337" t="s">
        <v>294</v>
      </c>
      <c r="L17" s="361" t="str">
        <f t="shared" si="0"/>
        <v>HEAD STOCK</v>
      </c>
      <c r="M17" s="337" t="str">
        <f t="shared" si="1"/>
        <v>C62</v>
      </c>
      <c r="N17" s="337" t="str">
        <f t="shared" si="2"/>
        <v>000206</v>
      </c>
      <c r="O17" s="337">
        <f t="shared" si="3"/>
        <v>15</v>
      </c>
    </row>
    <row r="18" spans="2:15" ht="30.75" customHeight="1">
      <c r="B18" s="347" t="s">
        <v>362</v>
      </c>
      <c r="C18" s="343" t="s">
        <v>361</v>
      </c>
      <c r="D18" s="343" t="s">
        <v>361</v>
      </c>
      <c r="E18" s="343" t="str">
        <f>VLOOKUP(D18,[6]USE!A:D,2,0)</f>
        <v>000006</v>
      </c>
      <c r="F18" s="343" t="str">
        <f>VLOOKUP(D18,[6]USE!A:E,3,0)</f>
        <v>PCS</v>
      </c>
      <c r="G18" s="343" t="str">
        <f>VLOOKUP(D18,[6]USE!A:D,4,0)</f>
        <v>C62</v>
      </c>
      <c r="H18" s="343"/>
      <c r="K18" s="337" t="s">
        <v>295</v>
      </c>
      <c r="L18" s="361" t="str">
        <f t="shared" si="0"/>
        <v>TOOL POST</v>
      </c>
      <c r="M18" s="337" t="str">
        <f t="shared" si="1"/>
        <v>C62</v>
      </c>
      <c r="N18" s="337" t="str">
        <f t="shared" si="2"/>
        <v>000174</v>
      </c>
      <c r="O18" s="337">
        <f t="shared" si="3"/>
        <v>16</v>
      </c>
    </row>
    <row r="19" spans="2:15" ht="30.75" customHeight="1">
      <c r="B19" s="347" t="s">
        <v>363</v>
      </c>
      <c r="C19" s="343" t="s">
        <v>361</v>
      </c>
      <c r="D19" s="343" t="s">
        <v>361</v>
      </c>
      <c r="E19" s="343" t="str">
        <f>VLOOKUP(D19,[6]USE!A:D,2,0)</f>
        <v>000006</v>
      </c>
      <c r="F19" s="343" t="str">
        <f>VLOOKUP(D19,[6]USE!A:E,3,0)</f>
        <v>PCS</v>
      </c>
      <c r="G19" s="343" t="str">
        <f>VLOOKUP(D19,[6]USE!A:D,4,0)</f>
        <v>C62</v>
      </c>
      <c r="H19" s="343"/>
      <c r="K19" s="337" t="s">
        <v>295</v>
      </c>
      <c r="L19" s="361" t="str">
        <f t="shared" si="0"/>
        <v>TOOL POST</v>
      </c>
      <c r="M19" s="337" t="str">
        <f t="shared" si="1"/>
        <v>C62</v>
      </c>
      <c r="N19" s="337" t="str">
        <f t="shared" si="2"/>
        <v>000174</v>
      </c>
      <c r="O19" s="337">
        <f t="shared" si="3"/>
        <v>17</v>
      </c>
    </row>
    <row r="20" spans="2:15" ht="30.75" customHeight="1">
      <c r="B20" s="347" t="s">
        <v>364</v>
      </c>
      <c r="C20" s="343" t="s">
        <v>365</v>
      </c>
      <c r="D20" s="343" t="s">
        <v>361</v>
      </c>
      <c r="E20" s="343" t="str">
        <f>VLOOKUP(D20,[6]USE!A:D,2,0)</f>
        <v>000006</v>
      </c>
      <c r="F20" s="343" t="str">
        <f>VLOOKUP(D20,[6]USE!A:E,3,0)</f>
        <v>PCS</v>
      </c>
      <c r="G20" s="343" t="str">
        <f>VLOOKUP(D20,[6]USE!A:D,4,0)</f>
        <v>C62</v>
      </c>
      <c r="H20" s="343"/>
      <c r="K20" s="337" t="s">
        <v>296</v>
      </c>
      <c r="L20" s="361" t="str">
        <f t="shared" si="0"/>
        <v>X-SLIDE</v>
      </c>
      <c r="M20" s="337" t="str">
        <f t="shared" si="1"/>
        <v>C62</v>
      </c>
      <c r="N20" s="337" t="str">
        <f t="shared" si="2"/>
        <v>000004</v>
      </c>
      <c r="O20" s="337">
        <f t="shared" si="3"/>
        <v>18</v>
      </c>
    </row>
    <row r="21" spans="2:15" ht="30.75" customHeight="1">
      <c r="B21" s="347" t="s">
        <v>366</v>
      </c>
      <c r="C21" s="343" t="s">
        <v>365</v>
      </c>
      <c r="D21" s="343" t="str">
        <f>VLOOKUP(B21,[7]IV!$B$21:$C$80,2,0)</f>
        <v>BRACKET</v>
      </c>
      <c r="E21" s="343" t="str">
        <f>VLOOKUP(D21,[6]USE!A:D,2,0)</f>
        <v>000006</v>
      </c>
      <c r="F21" s="343" t="str">
        <f>VLOOKUP(D21,[6]USE!A:E,3,0)</f>
        <v>PCS</v>
      </c>
      <c r="G21" s="343" t="str">
        <f>VLOOKUP(D21,[6]USE!A:D,4,0)</f>
        <v>C62</v>
      </c>
      <c r="H21" s="343"/>
      <c r="K21" s="337" t="s">
        <v>291</v>
      </c>
      <c r="L21" s="361" t="str">
        <f t="shared" si="0"/>
        <v>CROSS SLIDE</v>
      </c>
      <c r="M21" s="337" t="str">
        <f t="shared" si="1"/>
        <v>C62</v>
      </c>
      <c r="N21" s="337" t="str">
        <f t="shared" si="2"/>
        <v>000002</v>
      </c>
      <c r="O21" s="337">
        <f t="shared" si="3"/>
        <v>19</v>
      </c>
    </row>
    <row r="22" spans="2:15" ht="30.75" customHeight="1">
      <c r="B22" s="347" t="s">
        <v>367</v>
      </c>
      <c r="C22" s="343" t="s">
        <v>368</v>
      </c>
      <c r="D22" s="343" t="s">
        <v>361</v>
      </c>
      <c r="E22" s="343" t="str">
        <f>VLOOKUP(D22,[6]USE!A:D,2,0)</f>
        <v>000006</v>
      </c>
      <c r="F22" s="343" t="str">
        <f>VLOOKUP(D22,[6]USE!A:E,3,0)</f>
        <v>PCS</v>
      </c>
      <c r="G22" s="343" t="str">
        <f>VLOOKUP(D22,[6]USE!A:D,4,0)</f>
        <v>C62</v>
      </c>
      <c r="H22" s="343"/>
      <c r="K22" s="337" t="s">
        <v>297</v>
      </c>
      <c r="L22" s="361" t="str">
        <f t="shared" si="0"/>
        <v>HEAD STOCK</v>
      </c>
      <c r="M22" s="337" t="str">
        <f t="shared" si="1"/>
        <v>C62</v>
      </c>
      <c r="N22" s="337" t="str">
        <f t="shared" si="2"/>
        <v>000206</v>
      </c>
      <c r="O22" s="337">
        <f t="shared" si="3"/>
        <v>20</v>
      </c>
    </row>
    <row r="23" spans="2:15" ht="30.75" customHeight="1">
      <c r="B23" s="347" t="s">
        <v>369</v>
      </c>
      <c r="C23" s="343" t="s">
        <v>370</v>
      </c>
      <c r="D23" s="343" t="str">
        <f>VLOOKUP(B23,[7]IV!$B$21:$C$80,2,0)</f>
        <v>BRACKET</v>
      </c>
      <c r="E23" s="343" t="str">
        <f>VLOOKUP(D23,[6]USE!A:D,2,0)</f>
        <v>000006</v>
      </c>
      <c r="F23" s="343" t="str">
        <f>VLOOKUP(D23,[6]USE!A:E,3,0)</f>
        <v>PCS</v>
      </c>
      <c r="G23" s="343" t="str">
        <f>VLOOKUP(D23,[6]USE!A:D,4,0)</f>
        <v>C62</v>
      </c>
      <c r="H23" s="343"/>
      <c r="K23" s="337" t="s">
        <v>298</v>
      </c>
      <c r="L23" s="361" t="str">
        <f t="shared" si="0"/>
        <v>CHUCKING LEVER</v>
      </c>
      <c r="M23" s="337" t="str">
        <f t="shared" si="1"/>
        <v>C62</v>
      </c>
      <c r="N23" s="337" t="str">
        <f t="shared" si="2"/>
        <v>000084</v>
      </c>
      <c r="O23" s="337">
        <f t="shared" si="3"/>
        <v>21</v>
      </c>
    </row>
    <row r="24" spans="2:15" ht="30.75" customHeight="1">
      <c r="B24" s="347" t="s">
        <v>371</v>
      </c>
      <c r="C24" s="343" t="s">
        <v>372</v>
      </c>
      <c r="D24" s="343" t="str">
        <f>VLOOKUP(B24,[7]IV!$B$21:$C$80,2,0)</f>
        <v>CHUCKING LEVER</v>
      </c>
      <c r="E24" s="343" t="str">
        <f>VLOOKUP(D24,[6]USE!A:D,2,0)</f>
        <v>000084</v>
      </c>
      <c r="F24" s="343" t="str">
        <f>VLOOKUP(D24,[6]USE!A:E,3,0)</f>
        <v>PCS</v>
      </c>
      <c r="G24" s="343" t="str">
        <f>VLOOKUP(D24,[6]USE!A:D,4,0)</f>
        <v>C62</v>
      </c>
      <c r="H24" s="343"/>
      <c r="K24" s="337" t="s">
        <v>299</v>
      </c>
      <c r="L24" s="361" t="str">
        <f t="shared" si="0"/>
        <v>SLEEVE HOLDER</v>
      </c>
      <c r="M24" s="337" t="str">
        <f t="shared" si="1"/>
        <v>C62</v>
      </c>
      <c r="N24" s="337" t="str">
        <f t="shared" si="2"/>
        <v>000119</v>
      </c>
      <c r="O24" s="337">
        <f t="shared" si="3"/>
        <v>22</v>
      </c>
    </row>
    <row r="25" spans="2:15" ht="30.75" customHeight="1">
      <c r="B25" s="347" t="s">
        <v>373</v>
      </c>
      <c r="C25" s="343" t="s">
        <v>372</v>
      </c>
      <c r="D25" s="343" t="s">
        <v>374</v>
      </c>
      <c r="E25" s="343" t="str">
        <f>VLOOKUP(D25,[6]USE!A:D,2,0)</f>
        <v>000084</v>
      </c>
      <c r="F25" s="343" t="str">
        <f>VLOOKUP(D25,[6]USE!A:E,3,0)</f>
        <v>PCS</v>
      </c>
      <c r="G25" s="343" t="str">
        <f>VLOOKUP(D25,[6]USE!A:D,4,0)</f>
        <v>C62</v>
      </c>
      <c r="H25" s="343"/>
      <c r="K25" s="337" t="s">
        <v>300</v>
      </c>
      <c r="L25" s="361" t="str">
        <f t="shared" si="0"/>
        <v>BRACKET</v>
      </c>
      <c r="M25" s="337" t="str">
        <f t="shared" si="1"/>
        <v>C62</v>
      </c>
      <c r="N25" s="337" t="str">
        <f t="shared" si="2"/>
        <v>000006</v>
      </c>
      <c r="O25" s="337">
        <f t="shared" si="3"/>
        <v>23</v>
      </c>
    </row>
    <row r="26" spans="2:15" ht="30.75" customHeight="1">
      <c r="B26" s="347" t="s">
        <v>375</v>
      </c>
      <c r="C26" s="343" t="s">
        <v>298</v>
      </c>
      <c r="D26" s="343" t="s">
        <v>374</v>
      </c>
      <c r="E26" s="343" t="str">
        <f>VLOOKUP(D26,[6]USE!A:D,2,0)</f>
        <v>000084</v>
      </c>
      <c r="F26" s="343" t="str">
        <f>VLOOKUP(D26,[6]USE!A:E,3,0)</f>
        <v>PCS</v>
      </c>
      <c r="G26" s="343" t="str">
        <f>VLOOKUP(D26,[6]USE!A:D,4,0)</f>
        <v>C62</v>
      </c>
      <c r="H26" s="343"/>
      <c r="K26" s="337" t="s">
        <v>301</v>
      </c>
      <c r="L26" s="361" t="str">
        <f t="shared" si="0"/>
        <v>HEAD STOCK</v>
      </c>
      <c r="M26" s="337" t="str">
        <f t="shared" si="1"/>
        <v>C62</v>
      </c>
      <c r="N26" s="337" t="str">
        <f t="shared" si="2"/>
        <v>000206</v>
      </c>
      <c r="O26" s="337">
        <f t="shared" si="3"/>
        <v>24</v>
      </c>
    </row>
    <row r="27" spans="2:15" ht="30.75" customHeight="1">
      <c r="B27" s="347" t="s">
        <v>376</v>
      </c>
      <c r="C27" s="343" t="s">
        <v>311</v>
      </c>
      <c r="D27" s="343" t="s">
        <v>374</v>
      </c>
      <c r="E27" s="343" t="str">
        <f>VLOOKUP(D27,[6]USE!A:D,2,0)</f>
        <v>000084</v>
      </c>
      <c r="F27" s="343" t="str">
        <f>VLOOKUP(D27,[6]USE!A:E,3,0)</f>
        <v>PCS</v>
      </c>
      <c r="G27" s="343" t="str">
        <f>VLOOKUP(D27,[6]USE!A:D,4,0)</f>
        <v>C62</v>
      </c>
      <c r="H27" s="343"/>
      <c r="K27" s="337" t="s">
        <v>302</v>
      </c>
      <c r="L27" s="361" t="str">
        <f t="shared" si="0"/>
        <v>TOOL POST</v>
      </c>
      <c r="M27" s="337" t="str">
        <f t="shared" si="1"/>
        <v>C62</v>
      </c>
      <c r="N27" s="337" t="str">
        <f t="shared" si="2"/>
        <v>000174</v>
      </c>
      <c r="O27" s="337">
        <f t="shared" si="3"/>
        <v>25</v>
      </c>
    </row>
    <row r="28" spans="2:15" ht="30.75" customHeight="1">
      <c r="B28" s="347" t="s">
        <v>377</v>
      </c>
      <c r="C28" s="343" t="s">
        <v>291</v>
      </c>
      <c r="D28" s="343" t="s">
        <v>291</v>
      </c>
      <c r="E28" s="343" t="str">
        <f>VLOOKUP(D28,[6]USE!A:D,2,0)</f>
        <v>000002</v>
      </c>
      <c r="F28" s="343" t="str">
        <f>VLOOKUP(D28,[6]USE!A:E,3,0)</f>
        <v>PCS</v>
      </c>
      <c r="G28" s="343" t="str">
        <f>VLOOKUP(D28,[6]USE!A:D,4,0)</f>
        <v>C62</v>
      </c>
      <c r="H28" s="343"/>
      <c r="K28" s="337" t="s">
        <v>295</v>
      </c>
      <c r="L28" s="361" t="str">
        <f t="shared" si="0"/>
        <v>TOOL POST</v>
      </c>
      <c r="M28" s="337" t="str">
        <f t="shared" si="1"/>
        <v>C62</v>
      </c>
      <c r="N28" s="337" t="str">
        <f t="shared" si="2"/>
        <v>000174</v>
      </c>
      <c r="O28" s="337">
        <f t="shared" si="3"/>
        <v>26</v>
      </c>
    </row>
    <row r="29" spans="2:15" ht="30.75" customHeight="1">
      <c r="B29" s="347" t="s">
        <v>378</v>
      </c>
      <c r="C29" s="343" t="s">
        <v>291</v>
      </c>
      <c r="D29" s="343" t="s">
        <v>291</v>
      </c>
      <c r="E29" s="343" t="str">
        <f>VLOOKUP(D29,[6]USE!A:D,2,0)</f>
        <v>000002</v>
      </c>
      <c r="F29" s="343" t="str">
        <f>VLOOKUP(D29,[6]USE!A:E,3,0)</f>
        <v>PCS</v>
      </c>
      <c r="G29" s="343" t="str">
        <f>VLOOKUP(D29,[6]USE!A:D,4,0)</f>
        <v>C62</v>
      </c>
      <c r="H29" s="343"/>
      <c r="K29" s="337" t="s">
        <v>303</v>
      </c>
      <c r="L29" s="361" t="str">
        <f t="shared" si="0"/>
        <v>X-SLIDE</v>
      </c>
      <c r="M29" s="337" t="str">
        <f t="shared" si="1"/>
        <v>C62</v>
      </c>
      <c r="N29" s="337" t="str">
        <f t="shared" si="2"/>
        <v>000004</v>
      </c>
      <c r="O29" s="337">
        <f t="shared" si="3"/>
        <v>27</v>
      </c>
    </row>
    <row r="30" spans="2:15" ht="30.75" customHeight="1">
      <c r="B30" s="347" t="s">
        <v>379</v>
      </c>
      <c r="C30" s="343" t="s">
        <v>291</v>
      </c>
      <c r="D30" s="343" t="s">
        <v>291</v>
      </c>
      <c r="E30" s="343" t="str">
        <f>VLOOKUP(D30,[6]USE!A:D,2,0)</f>
        <v>000002</v>
      </c>
      <c r="F30" s="343" t="str">
        <f>VLOOKUP(D30,[6]USE!A:E,3,0)</f>
        <v>PCS</v>
      </c>
      <c r="G30" s="343" t="str">
        <f>VLOOKUP(D30,[6]USE!A:D,4,0)</f>
        <v>C62</v>
      </c>
      <c r="H30" s="343"/>
      <c r="K30" s="337" t="s">
        <v>304</v>
      </c>
      <c r="L30" s="361" t="str">
        <f t="shared" si="0"/>
        <v>Z2 SLIDE</v>
      </c>
      <c r="M30" s="337" t="str">
        <f t="shared" si="1"/>
        <v>C62</v>
      </c>
      <c r="N30" s="337" t="str">
        <f t="shared" si="2"/>
        <v>000175</v>
      </c>
      <c r="O30" s="337">
        <f t="shared" si="3"/>
        <v>28</v>
      </c>
    </row>
    <row r="31" spans="2:15" ht="30.75" customHeight="1">
      <c r="B31" s="343" t="s">
        <v>380</v>
      </c>
      <c r="C31" s="343" t="s">
        <v>291</v>
      </c>
      <c r="D31" s="343" t="s">
        <v>291</v>
      </c>
      <c r="E31" s="343" t="str">
        <f>VLOOKUP(D31,[6]USE!A:D,2,0)</f>
        <v>000002</v>
      </c>
      <c r="F31" s="343" t="str">
        <f>VLOOKUP(D31,[6]USE!A:E,3,0)</f>
        <v>PCS</v>
      </c>
      <c r="G31" s="343" t="str">
        <f>VLOOKUP(D31,[6]USE!A:D,4,0)</f>
        <v>C62</v>
      </c>
      <c r="H31" s="343"/>
      <c r="K31" s="337" t="s">
        <v>305</v>
      </c>
      <c r="L31" s="361" t="str">
        <f t="shared" si="0"/>
        <v>Y-SLIDE</v>
      </c>
      <c r="M31" s="337" t="str">
        <f t="shared" si="1"/>
        <v>C62</v>
      </c>
      <c r="N31" s="337" t="str">
        <f t="shared" si="2"/>
        <v>000186</v>
      </c>
      <c r="O31" s="337">
        <f t="shared" si="3"/>
        <v>29</v>
      </c>
    </row>
    <row r="32" spans="2:15" ht="30.75" customHeight="1">
      <c r="B32" s="343" t="s">
        <v>381</v>
      </c>
      <c r="C32" s="343" t="s">
        <v>382</v>
      </c>
      <c r="D32" s="343" t="s">
        <v>291</v>
      </c>
      <c r="E32" s="343" t="str">
        <f>VLOOKUP(D32,[6]USE!A:D,2,0)</f>
        <v>000002</v>
      </c>
      <c r="F32" s="343" t="str">
        <f>VLOOKUP(D32,[6]USE!A:E,3,0)</f>
        <v>PCS</v>
      </c>
      <c r="G32" s="343" t="str">
        <f>VLOOKUP(D32,[6]USE!A:D,4,0)</f>
        <v>C62</v>
      </c>
      <c r="H32" s="343"/>
      <c r="K32" s="337" t="s">
        <v>306</v>
      </c>
      <c r="L32" s="361" t="str">
        <f t="shared" si="0"/>
        <v>Y-SLIDE</v>
      </c>
      <c r="M32" s="337" t="str">
        <f t="shared" si="1"/>
        <v>C62</v>
      </c>
      <c r="N32" s="337" t="str">
        <f t="shared" si="2"/>
        <v>000186</v>
      </c>
      <c r="O32" s="337">
        <f t="shared" si="3"/>
        <v>30</v>
      </c>
    </row>
    <row r="33" spans="2:15" ht="30.75" customHeight="1">
      <c r="B33" s="347" t="s">
        <v>383</v>
      </c>
      <c r="C33" s="343" t="s">
        <v>384</v>
      </c>
      <c r="D33" s="343" t="s">
        <v>291</v>
      </c>
      <c r="E33" s="343" t="str">
        <f>VLOOKUP(D33,[6]USE!A:D,2,0)</f>
        <v>000002</v>
      </c>
      <c r="F33" s="343" t="str">
        <f>VLOOKUP(D33,[6]USE!A:E,3,0)</f>
        <v>PCS</v>
      </c>
      <c r="G33" s="343" t="str">
        <f>VLOOKUP(D33,[6]USE!A:D,4,0)</f>
        <v>C62</v>
      </c>
      <c r="H33" s="343"/>
      <c r="K33" s="337" t="s">
        <v>307</v>
      </c>
      <c r="L33" s="361" t="str">
        <f t="shared" ref="L33:L59" si="4">VLOOKUP(K33,C:F,2,0)</f>
        <v>HEAD STOCK</v>
      </c>
      <c r="M33" s="337" t="str">
        <f t="shared" ref="M33:M59" si="5">VLOOKUP(L33,D:G,4,0)</f>
        <v>C62</v>
      </c>
      <c r="N33" s="337" t="str">
        <f t="shared" ref="N33:N59" si="6">VLOOKUP(L33,D:H,2,0)</f>
        <v>000206</v>
      </c>
      <c r="O33" s="360">
        <f t="shared" ref="O33:O59" si="7">ROW(O31)</f>
        <v>31</v>
      </c>
    </row>
    <row r="34" spans="2:15" ht="30.75" customHeight="1">
      <c r="B34" s="347" t="s">
        <v>385</v>
      </c>
      <c r="C34" s="343" t="s">
        <v>386</v>
      </c>
      <c r="D34" s="343" t="s">
        <v>291</v>
      </c>
      <c r="E34" s="343" t="str">
        <f>VLOOKUP(D34,[6]USE!A:D,2,0)</f>
        <v>000002</v>
      </c>
      <c r="F34" s="343" t="str">
        <f>VLOOKUP(D34,[6]USE!A:E,3,0)</f>
        <v>PCS</v>
      </c>
      <c r="G34" s="343" t="str">
        <f>VLOOKUP(D34,[6]USE!A:D,4,0)</f>
        <v>C62</v>
      </c>
      <c r="H34" s="343"/>
      <c r="K34" s="337" t="s">
        <v>308</v>
      </c>
      <c r="L34" s="361" t="str">
        <f t="shared" si="4"/>
        <v>MOTOR HOUSING</v>
      </c>
      <c r="M34" s="337" t="str">
        <f t="shared" si="5"/>
        <v>C62</v>
      </c>
      <c r="N34" s="337" t="str">
        <f t="shared" si="6"/>
        <v>000187</v>
      </c>
      <c r="O34" s="360">
        <f t="shared" si="7"/>
        <v>32</v>
      </c>
    </row>
    <row r="35" spans="2:15" ht="30.75" customHeight="1">
      <c r="B35" s="347" t="s">
        <v>387</v>
      </c>
      <c r="C35" s="343" t="s">
        <v>386</v>
      </c>
      <c r="D35" s="343" t="s">
        <v>291</v>
      </c>
      <c r="E35" s="343" t="str">
        <f>VLOOKUP(D35,[6]USE!A:D,2,0)</f>
        <v>000002</v>
      </c>
      <c r="F35" s="343" t="str">
        <f>VLOOKUP(D35,[6]USE!A:E,3,0)</f>
        <v>PCS</v>
      </c>
      <c r="G35" s="343" t="str">
        <f>VLOOKUP(D35,[6]USE!A:D,4,0)</f>
        <v>C62</v>
      </c>
      <c r="H35" s="343"/>
      <c r="K35" s="337" t="s">
        <v>309</v>
      </c>
      <c r="L35" s="361" t="str">
        <f t="shared" si="4"/>
        <v>CROSS SLIDE</v>
      </c>
      <c r="M35" s="337" t="str">
        <f t="shared" si="5"/>
        <v>C62</v>
      </c>
      <c r="N35" s="337" t="str">
        <f t="shared" si="6"/>
        <v>000002</v>
      </c>
      <c r="O35" s="360">
        <f t="shared" si="7"/>
        <v>33</v>
      </c>
    </row>
    <row r="36" spans="2:15" ht="30.75" customHeight="1">
      <c r="B36" s="347" t="s">
        <v>381</v>
      </c>
      <c r="C36" s="343" t="s">
        <v>388</v>
      </c>
      <c r="D36" s="343" t="str">
        <f>VLOOKUP(B36,[7]IV!$B$21:$C$80,2,0)</f>
        <v>CROSS SLIDE</v>
      </c>
      <c r="E36" s="343" t="str">
        <f>VLOOKUP(D36,[6]USE!A:D,2,0)</f>
        <v>000002</v>
      </c>
      <c r="F36" s="343" t="str">
        <f>VLOOKUP(D36,[6]USE!A:E,3,0)</f>
        <v>PCS</v>
      </c>
      <c r="G36" s="343" t="str">
        <f>VLOOKUP(D36,[6]USE!A:D,4,0)</f>
        <v>C62</v>
      </c>
      <c r="H36" s="343"/>
      <c r="K36" s="337" t="s">
        <v>310</v>
      </c>
      <c r="L36" s="361" t="str">
        <f t="shared" si="4"/>
        <v>CHUCKING LEVER</v>
      </c>
      <c r="M36" s="337" t="str">
        <f t="shared" si="5"/>
        <v>C62</v>
      </c>
      <c r="N36" s="337" t="str">
        <f t="shared" si="6"/>
        <v>000084</v>
      </c>
      <c r="O36" s="360">
        <f t="shared" si="7"/>
        <v>34</v>
      </c>
    </row>
    <row r="37" spans="2:15" ht="30.75" customHeight="1">
      <c r="B37" s="347" t="s">
        <v>389</v>
      </c>
      <c r="C37" s="343" t="s">
        <v>388</v>
      </c>
      <c r="D37" s="343" t="s">
        <v>291</v>
      </c>
      <c r="E37" s="343" t="str">
        <f>VLOOKUP(D37,[6]USE!A:D,2,0)</f>
        <v>000002</v>
      </c>
      <c r="F37" s="343" t="str">
        <f>VLOOKUP(D37,[6]USE!A:E,3,0)</f>
        <v>PCS</v>
      </c>
      <c r="G37" s="343" t="str">
        <f>VLOOKUP(D37,[6]USE!A:D,4,0)</f>
        <v>C62</v>
      </c>
      <c r="H37" s="343"/>
      <c r="K37" s="337" t="s">
        <v>311</v>
      </c>
      <c r="L37" s="361" t="str">
        <f t="shared" si="4"/>
        <v>CHUCKING LEVER</v>
      </c>
      <c r="M37" s="337" t="str">
        <f t="shared" si="5"/>
        <v>C62</v>
      </c>
      <c r="N37" s="337" t="str">
        <f t="shared" si="6"/>
        <v>000084</v>
      </c>
      <c r="O37" s="360">
        <f t="shared" si="7"/>
        <v>35</v>
      </c>
    </row>
    <row r="38" spans="2:15" ht="30.75" customHeight="1">
      <c r="B38" s="343" t="s">
        <v>385</v>
      </c>
      <c r="C38" s="343" t="s">
        <v>390</v>
      </c>
      <c r="D38" s="343" t="s">
        <v>291</v>
      </c>
      <c r="E38" s="343" t="str">
        <f>VLOOKUP(D38,[6]USE!A:D,2,0)</f>
        <v>000002</v>
      </c>
      <c r="F38" s="343" t="str">
        <f>VLOOKUP(D38,[6]USE!A:E,3,0)</f>
        <v>PCS</v>
      </c>
      <c r="G38" s="343" t="str">
        <f>VLOOKUP(D38,[6]USE!A:D,4,0)</f>
        <v>C62</v>
      </c>
      <c r="H38" s="343"/>
      <c r="K38" s="337" t="s">
        <v>312</v>
      </c>
      <c r="L38" s="361" t="str">
        <f t="shared" si="4"/>
        <v>TOOL POST</v>
      </c>
      <c r="M38" s="337" t="str">
        <f t="shared" si="5"/>
        <v>C62</v>
      </c>
      <c r="N38" s="337" t="str">
        <f t="shared" si="6"/>
        <v>000174</v>
      </c>
      <c r="O38" s="360">
        <f t="shared" si="7"/>
        <v>36</v>
      </c>
    </row>
    <row r="39" spans="2:15" ht="30.75" customHeight="1">
      <c r="B39" s="343" t="s">
        <v>387</v>
      </c>
      <c r="C39" s="343" t="s">
        <v>390</v>
      </c>
      <c r="D39" s="343" t="s">
        <v>291</v>
      </c>
      <c r="E39" s="343" t="str">
        <f>VLOOKUP(D39,[6]USE!A:D,2,0)</f>
        <v>000002</v>
      </c>
      <c r="F39" s="343" t="str">
        <f>VLOOKUP(D39,[6]USE!A:E,3,0)</f>
        <v>PCS</v>
      </c>
      <c r="G39" s="343" t="str">
        <f>VLOOKUP(D39,[6]USE!A:D,4,0)</f>
        <v>C62</v>
      </c>
      <c r="H39" s="343"/>
      <c r="K39" s="337" t="s">
        <v>313</v>
      </c>
      <c r="L39" s="361" t="str">
        <f t="shared" si="4"/>
        <v>CROSS SLIDE</v>
      </c>
      <c r="M39" s="337" t="str">
        <f t="shared" si="5"/>
        <v>C62</v>
      </c>
      <c r="N39" s="337" t="str">
        <f t="shared" si="6"/>
        <v>000002</v>
      </c>
      <c r="O39" s="360">
        <f t="shared" si="7"/>
        <v>37</v>
      </c>
    </row>
    <row r="40" spans="2:15" ht="30.75" customHeight="1">
      <c r="B40" s="347" t="s">
        <v>391</v>
      </c>
      <c r="C40" s="343" t="s">
        <v>313</v>
      </c>
      <c r="D40" s="343" t="str">
        <f>VLOOKUP(B40,[7]IV!$B$21:$C$80,2,0)</f>
        <v>CROSS SLIDE</v>
      </c>
      <c r="E40" s="343" t="str">
        <f>VLOOKUP(D40,[6]USE!A:D,2,0)</f>
        <v>000002</v>
      </c>
      <c r="F40" s="343" t="str">
        <f>VLOOKUP(D40,[6]USE!A:E,3,0)</f>
        <v>PCS</v>
      </c>
      <c r="G40" s="343" t="str">
        <f>VLOOKUP(D40,[6]USE!A:D,4,0)</f>
        <v>C62</v>
      </c>
      <c r="H40" s="343"/>
      <c r="K40" s="337" t="s">
        <v>313</v>
      </c>
      <c r="L40" s="361" t="str">
        <f t="shared" si="4"/>
        <v>CROSS SLIDE</v>
      </c>
      <c r="M40" s="337" t="str">
        <f t="shared" si="5"/>
        <v>C62</v>
      </c>
      <c r="N40" s="337" t="str">
        <f t="shared" si="6"/>
        <v>000002</v>
      </c>
      <c r="O40" s="360">
        <f t="shared" si="7"/>
        <v>38</v>
      </c>
    </row>
    <row r="41" spans="2:15" ht="30.75" customHeight="1">
      <c r="B41" s="347" t="s">
        <v>392</v>
      </c>
      <c r="C41" s="343" t="s">
        <v>313</v>
      </c>
      <c r="D41" s="343" t="str">
        <f>VLOOKUP(B41,[7]IV!$B$21:$C$80,2,0)</f>
        <v>CROSS SLIDE</v>
      </c>
      <c r="E41" s="343" t="str">
        <f>VLOOKUP(D41,[6]USE!A:D,2,0)</f>
        <v>000002</v>
      </c>
      <c r="F41" s="343" t="str">
        <f>VLOOKUP(D41,[6]USE!A:E,3,0)</f>
        <v>PCS</v>
      </c>
      <c r="G41" s="343" t="str">
        <f>VLOOKUP(D41,[6]USE!A:D,4,0)</f>
        <v>C62</v>
      </c>
      <c r="H41" s="343"/>
      <c r="K41" s="337" t="s">
        <v>314</v>
      </c>
      <c r="L41" s="361" t="str">
        <f t="shared" si="4"/>
        <v>SLIDE BASE</v>
      </c>
      <c r="M41" s="337" t="str">
        <f t="shared" si="5"/>
        <v>C62</v>
      </c>
      <c r="N41" s="337" t="str">
        <f t="shared" si="6"/>
        <v>000008</v>
      </c>
      <c r="O41" s="360">
        <f t="shared" si="7"/>
        <v>39</v>
      </c>
    </row>
    <row r="42" spans="2:15" ht="30.75" customHeight="1">
      <c r="B42" s="343" t="s">
        <v>389</v>
      </c>
      <c r="C42" s="343" t="s">
        <v>393</v>
      </c>
      <c r="D42" s="343" t="s">
        <v>291</v>
      </c>
      <c r="E42" s="343" t="str">
        <f>VLOOKUP(D42,[6]USE!A:D,2,0)</f>
        <v>000002</v>
      </c>
      <c r="F42" s="343" t="str">
        <f>VLOOKUP(D42,[6]USE!A:E,3,0)</f>
        <v>PCS</v>
      </c>
      <c r="G42" s="343" t="str">
        <f>VLOOKUP(D42,[6]USE!A:D,4,0)</f>
        <v>C62</v>
      </c>
      <c r="H42" s="343"/>
      <c r="K42" s="337" t="s">
        <v>315</v>
      </c>
      <c r="L42" s="361" t="str">
        <f t="shared" si="4"/>
        <v>Z2 SLIDE</v>
      </c>
      <c r="M42" s="337" t="str">
        <f t="shared" si="5"/>
        <v>C62</v>
      </c>
      <c r="N42" s="337" t="str">
        <f t="shared" si="6"/>
        <v>000175</v>
      </c>
      <c r="O42" s="360">
        <f t="shared" si="7"/>
        <v>40</v>
      </c>
    </row>
    <row r="43" spans="2:15" ht="30.75" customHeight="1">
      <c r="B43" s="347" t="s">
        <v>394</v>
      </c>
      <c r="C43" s="343" t="s">
        <v>309</v>
      </c>
      <c r="D43" s="343" t="s">
        <v>291</v>
      </c>
      <c r="E43" s="343" t="str">
        <f>VLOOKUP(D43,[6]USE!A:D,2,0)</f>
        <v>000002</v>
      </c>
      <c r="F43" s="343" t="str">
        <f>VLOOKUP(D43,[6]USE!A:E,3,0)</f>
        <v>PCS</v>
      </c>
      <c r="G43" s="343" t="str">
        <f>VLOOKUP(D43,[6]USE!A:D,4,0)</f>
        <v>C62</v>
      </c>
      <c r="H43" s="343"/>
      <c r="K43" s="337" t="s">
        <v>316</v>
      </c>
      <c r="L43" s="361" t="str">
        <f t="shared" si="4"/>
        <v>HEAD STOCK</v>
      </c>
      <c r="M43" s="337" t="str">
        <f t="shared" si="5"/>
        <v>C62</v>
      </c>
      <c r="N43" s="337" t="str">
        <f t="shared" si="6"/>
        <v>000206</v>
      </c>
      <c r="O43" s="360">
        <f t="shared" si="7"/>
        <v>41</v>
      </c>
    </row>
    <row r="44" spans="2:15" ht="30.75" customHeight="1">
      <c r="B44" s="347" t="s">
        <v>395</v>
      </c>
      <c r="C44" s="343" t="s">
        <v>396</v>
      </c>
      <c r="D44" s="343" t="s">
        <v>347</v>
      </c>
      <c r="E44" s="343" t="str">
        <f>VLOOKUP(D44,[6]USE!A:D,2,0)</f>
        <v>000213</v>
      </c>
      <c r="F44" s="343" t="str">
        <f>VLOOKUP(D44,[6]USE!A:E,3,0)</f>
        <v>PCS</v>
      </c>
      <c r="G44" s="343" t="str">
        <f>VLOOKUP(D44,[6]USE!A:D,4,0)</f>
        <v>C62</v>
      </c>
      <c r="H44" s="343"/>
      <c r="K44" s="337" t="s">
        <v>295</v>
      </c>
      <c r="L44" s="361" t="str">
        <f t="shared" si="4"/>
        <v>TOOL POST</v>
      </c>
      <c r="M44" s="337" t="str">
        <f t="shared" si="5"/>
        <v>C62</v>
      </c>
      <c r="N44" s="337" t="str">
        <f t="shared" si="6"/>
        <v>000174</v>
      </c>
      <c r="O44" s="360">
        <f t="shared" si="7"/>
        <v>42</v>
      </c>
    </row>
    <row r="45" spans="2:15" ht="30.75" customHeight="1">
      <c r="B45" s="347" t="s">
        <v>397</v>
      </c>
      <c r="C45" s="343" t="s">
        <v>294</v>
      </c>
      <c r="D45" s="343" t="s">
        <v>294</v>
      </c>
      <c r="E45" s="343" t="str">
        <f>VLOOKUP(D45,[6]USE!A:D,2,0)</f>
        <v>000206</v>
      </c>
      <c r="F45" s="343" t="str">
        <f>VLOOKUP(D45,[6]USE!A:E,3,0)</f>
        <v>PCS</v>
      </c>
      <c r="G45" s="343" t="str">
        <f>VLOOKUP(D45,[6]USE!A:D,4,0)</f>
        <v>C62</v>
      </c>
      <c r="H45" s="343"/>
      <c r="K45" s="337" t="s">
        <v>296</v>
      </c>
      <c r="L45" s="361" t="str">
        <f t="shared" si="4"/>
        <v>X-SLIDE</v>
      </c>
      <c r="M45" s="337" t="str">
        <f t="shared" si="5"/>
        <v>C62</v>
      </c>
      <c r="N45" s="337" t="str">
        <f t="shared" si="6"/>
        <v>000004</v>
      </c>
      <c r="O45" s="360">
        <f t="shared" si="7"/>
        <v>43</v>
      </c>
    </row>
    <row r="46" spans="2:15" ht="30.75" customHeight="1">
      <c r="B46" s="347" t="s">
        <v>398</v>
      </c>
      <c r="C46" s="343" t="s">
        <v>307</v>
      </c>
      <c r="D46" s="343" t="str">
        <f>VLOOKUP(B46,[7]IV!$B$21:$C$80,2,0)</f>
        <v>HEAD STOCK</v>
      </c>
      <c r="E46" s="343" t="str">
        <f>VLOOKUP(D46,[6]USE!A:D,2,0)</f>
        <v>000206</v>
      </c>
      <c r="F46" s="343" t="str">
        <f>VLOOKUP(D46,[6]USE!A:E,3,0)</f>
        <v>PCS</v>
      </c>
      <c r="G46" s="343" t="str">
        <f>VLOOKUP(D46,[6]USE!A:D,4,0)</f>
        <v>C62</v>
      </c>
      <c r="H46" s="343"/>
      <c r="K46" s="337" t="s">
        <v>317</v>
      </c>
      <c r="L46" s="361" t="str">
        <f t="shared" si="4"/>
        <v>CROSS SLIDE</v>
      </c>
      <c r="M46" s="337" t="str">
        <f t="shared" si="5"/>
        <v>C62</v>
      </c>
      <c r="N46" s="337" t="str">
        <f t="shared" si="6"/>
        <v>000002</v>
      </c>
      <c r="O46" s="360">
        <f t="shared" si="7"/>
        <v>44</v>
      </c>
    </row>
    <row r="47" spans="2:15" ht="30.75" customHeight="1">
      <c r="B47" s="347" t="s">
        <v>399</v>
      </c>
      <c r="C47" s="343" t="s">
        <v>307</v>
      </c>
      <c r="D47" s="343" t="s">
        <v>294</v>
      </c>
      <c r="E47" s="343" t="str">
        <f>VLOOKUP(D47,[6]USE!A:D,2,0)</f>
        <v>000206</v>
      </c>
      <c r="F47" s="343" t="str">
        <f>VLOOKUP(D47,[6]USE!A:E,3,0)</f>
        <v>PCS</v>
      </c>
      <c r="G47" s="343" t="str">
        <f>VLOOKUP(D47,[6]USE!A:D,4,0)</f>
        <v>C62</v>
      </c>
      <c r="H47" s="343"/>
      <c r="K47" s="348" t="s">
        <v>318</v>
      </c>
      <c r="L47" s="361" t="str">
        <f t="shared" si="4"/>
        <v>Y-SLIDE</v>
      </c>
      <c r="M47" s="337" t="str">
        <f t="shared" si="5"/>
        <v>C62</v>
      </c>
      <c r="N47" s="337" t="str">
        <f t="shared" si="6"/>
        <v>000186</v>
      </c>
      <c r="O47" s="360">
        <f t="shared" si="7"/>
        <v>45</v>
      </c>
    </row>
    <row r="48" spans="2:15" ht="30.75" customHeight="1">
      <c r="B48" s="347" t="s">
        <v>400</v>
      </c>
      <c r="C48" s="343" t="s">
        <v>401</v>
      </c>
      <c r="D48" s="343" t="s">
        <v>294</v>
      </c>
      <c r="E48" s="343" t="str">
        <f>VLOOKUP(D48,[6]USE!A:D,2,0)</f>
        <v>000206</v>
      </c>
      <c r="F48" s="343" t="str">
        <f>VLOOKUP(D48,[6]USE!A:E,3,0)</f>
        <v>PCS</v>
      </c>
      <c r="G48" s="343" t="str">
        <f>VLOOKUP(D48,[6]USE!A:D,4,0)</f>
        <v>C62</v>
      </c>
      <c r="H48" s="343"/>
      <c r="K48" s="337" t="s">
        <v>291</v>
      </c>
      <c r="L48" s="361" t="str">
        <f t="shared" si="4"/>
        <v>CROSS SLIDE</v>
      </c>
      <c r="M48" s="337" t="str">
        <f t="shared" si="5"/>
        <v>C62</v>
      </c>
      <c r="N48" s="337" t="str">
        <f t="shared" si="6"/>
        <v>000002</v>
      </c>
      <c r="O48" s="360">
        <f t="shared" si="7"/>
        <v>46</v>
      </c>
    </row>
    <row r="49" spans="2:15" ht="30.75" customHeight="1">
      <c r="B49" s="347" t="s">
        <v>402</v>
      </c>
      <c r="C49" s="343" t="s">
        <v>300</v>
      </c>
      <c r="D49" s="343" t="s">
        <v>361</v>
      </c>
      <c r="E49" s="343" t="str">
        <f>VLOOKUP(D49,[6]USE!A:D,2,0)</f>
        <v>000006</v>
      </c>
      <c r="F49" s="343" t="str">
        <f>VLOOKUP(D49,[6]USE!A:E,3,0)</f>
        <v>PCS</v>
      </c>
      <c r="G49" s="343" t="str">
        <f>VLOOKUP(D49,[6]USE!A:D,4,0)</f>
        <v>C62</v>
      </c>
      <c r="H49" s="343"/>
      <c r="K49" s="337" t="s">
        <v>294</v>
      </c>
      <c r="L49" s="361" t="str">
        <f t="shared" si="4"/>
        <v>HEAD STOCK</v>
      </c>
      <c r="M49" s="337" t="str">
        <f t="shared" si="5"/>
        <v>C62</v>
      </c>
      <c r="N49" s="337" t="str">
        <f t="shared" si="6"/>
        <v>000206</v>
      </c>
      <c r="O49" s="360">
        <f t="shared" si="7"/>
        <v>47</v>
      </c>
    </row>
    <row r="50" spans="2:15" ht="30.75" customHeight="1">
      <c r="B50" s="349" t="s">
        <v>403</v>
      </c>
      <c r="C50" s="345" t="s">
        <v>300</v>
      </c>
      <c r="D50" s="345" t="s">
        <v>361</v>
      </c>
      <c r="E50" s="345" t="str">
        <f>VLOOKUP(D50,[6]USE!A:D,2,0)</f>
        <v>000006</v>
      </c>
      <c r="F50" s="345" t="str">
        <f>VLOOKUP(D50,[6]USE!A:E,3,0)</f>
        <v>PCS</v>
      </c>
      <c r="G50" s="345" t="str">
        <f>VLOOKUP(D50,[6]USE!A:D,4,0)</f>
        <v>C62</v>
      </c>
      <c r="H50" s="345" t="s">
        <v>404</v>
      </c>
      <c r="K50" s="337" t="s">
        <v>293</v>
      </c>
      <c r="L50" s="361" t="str">
        <f t="shared" si="4"/>
        <v>Z2 SLIDE</v>
      </c>
      <c r="M50" s="337" t="str">
        <f t="shared" si="5"/>
        <v>C62</v>
      </c>
      <c r="N50" s="337" t="str">
        <f t="shared" si="6"/>
        <v>000175</v>
      </c>
      <c r="O50" s="360">
        <f t="shared" si="7"/>
        <v>48</v>
      </c>
    </row>
    <row r="51" spans="2:15" ht="30.75" customHeight="1">
      <c r="B51" s="347" t="s">
        <v>405</v>
      </c>
      <c r="C51" s="343" t="s">
        <v>406</v>
      </c>
      <c r="D51" s="343" t="str">
        <f>VLOOKUP(B51,[7]IV!$B$21:$C$80,2,0)</f>
        <v>HEAD STOCK</v>
      </c>
      <c r="E51" s="343" t="str">
        <f>VLOOKUP(D51,[6]USE!A:D,2,0)</f>
        <v>000206</v>
      </c>
      <c r="F51" s="343" t="str">
        <f>VLOOKUP(D51,[6]USE!A:E,3,0)</f>
        <v>PCS</v>
      </c>
      <c r="G51" s="343" t="str">
        <f>VLOOKUP(D51,[6]USE!A:D,4,0)</f>
        <v>C62</v>
      </c>
      <c r="H51" s="343"/>
      <c r="K51" s="337" t="s">
        <v>293</v>
      </c>
      <c r="L51" s="361" t="str">
        <f t="shared" si="4"/>
        <v>Z2 SLIDE</v>
      </c>
      <c r="M51" s="337" t="str">
        <f t="shared" si="5"/>
        <v>C62</v>
      </c>
      <c r="N51" s="337" t="str">
        <f t="shared" si="6"/>
        <v>000175</v>
      </c>
      <c r="O51" s="360">
        <f t="shared" si="7"/>
        <v>49</v>
      </c>
    </row>
    <row r="52" spans="2:15" ht="30.75" customHeight="1">
      <c r="B52" s="347" t="s">
        <v>407</v>
      </c>
      <c r="C52" s="343" t="s">
        <v>408</v>
      </c>
      <c r="D52" s="343" t="s">
        <v>294</v>
      </c>
      <c r="E52" s="343" t="str">
        <f>VLOOKUP(D52,[6]USE!A:D,2,0)</f>
        <v>000206</v>
      </c>
      <c r="F52" s="343" t="str">
        <f>VLOOKUP(D52,[6]USE!A:E,3,0)</f>
        <v>PCS</v>
      </c>
      <c r="G52" s="343" t="str">
        <f>VLOOKUP(D52,[6]USE!A:D,4,0)</f>
        <v>C62</v>
      </c>
      <c r="H52" s="343"/>
      <c r="K52" s="337" t="s">
        <v>319</v>
      </c>
      <c r="L52" s="361" t="str">
        <f t="shared" si="4"/>
        <v>HEAD STOCK</v>
      </c>
      <c r="M52" s="337" t="str">
        <f t="shared" si="5"/>
        <v>C62</v>
      </c>
      <c r="N52" s="337" t="str">
        <f t="shared" si="6"/>
        <v>000206</v>
      </c>
      <c r="O52" s="360">
        <f t="shared" si="7"/>
        <v>50</v>
      </c>
    </row>
    <row r="53" spans="2:15" ht="30.75" customHeight="1">
      <c r="B53" s="347" t="s">
        <v>409</v>
      </c>
      <c r="C53" s="343" t="s">
        <v>408</v>
      </c>
      <c r="D53" s="343" t="s">
        <v>294</v>
      </c>
      <c r="E53" s="343" t="str">
        <f>VLOOKUP(D53,[6]USE!A:D,2,0)</f>
        <v>000206</v>
      </c>
      <c r="F53" s="343" t="str">
        <f>VLOOKUP(D53,[6]USE!A:E,3,0)</f>
        <v>PCS</v>
      </c>
      <c r="G53" s="343" t="str">
        <f>VLOOKUP(D53,[6]USE!A:D,4,0)</f>
        <v>C62</v>
      </c>
      <c r="H53" s="343"/>
      <c r="K53" s="337" t="s">
        <v>294</v>
      </c>
      <c r="L53" s="361" t="str">
        <f t="shared" si="4"/>
        <v>HEAD STOCK</v>
      </c>
      <c r="M53" s="337" t="str">
        <f t="shared" si="5"/>
        <v>C62</v>
      </c>
      <c r="N53" s="337" t="str">
        <f t="shared" si="6"/>
        <v>000206</v>
      </c>
      <c r="O53" s="360">
        <f t="shared" si="7"/>
        <v>51</v>
      </c>
    </row>
    <row r="54" spans="2:15" ht="30.75" customHeight="1">
      <c r="B54" s="343" t="s">
        <v>407</v>
      </c>
      <c r="C54" s="343" t="s">
        <v>410</v>
      </c>
      <c r="D54" s="343" t="s">
        <v>294</v>
      </c>
      <c r="E54" s="343" t="str">
        <f>VLOOKUP(D54,[6]USE!A:D,2,0)</f>
        <v>000206</v>
      </c>
      <c r="F54" s="343" t="str">
        <f>VLOOKUP(D54,[6]USE!A:E,3,0)</f>
        <v>PCS</v>
      </c>
      <c r="G54" s="343" t="str">
        <f>VLOOKUP(D54,[6]USE!A:D,4,0)</f>
        <v>C62</v>
      </c>
      <c r="H54" s="343"/>
      <c r="K54" s="337" t="s">
        <v>297</v>
      </c>
      <c r="L54" s="361" t="str">
        <f t="shared" si="4"/>
        <v>HEAD STOCK</v>
      </c>
      <c r="M54" s="337" t="str">
        <f t="shared" si="5"/>
        <v>C62</v>
      </c>
      <c r="N54" s="337" t="str">
        <f t="shared" si="6"/>
        <v>000206</v>
      </c>
      <c r="O54" s="360">
        <f t="shared" si="7"/>
        <v>52</v>
      </c>
    </row>
    <row r="55" spans="2:15" ht="30.75" customHeight="1">
      <c r="B55" s="343" t="s">
        <v>409</v>
      </c>
      <c r="C55" s="343" t="s">
        <v>410</v>
      </c>
      <c r="D55" s="343" t="s">
        <v>294</v>
      </c>
      <c r="E55" s="343" t="str">
        <f>VLOOKUP(D55,[6]USE!A:D,2,0)</f>
        <v>000206</v>
      </c>
      <c r="F55" s="343" t="str">
        <f>VLOOKUP(D55,[6]USE!A:E,3,0)</f>
        <v>PCS</v>
      </c>
      <c r="G55" s="343" t="str">
        <f>VLOOKUP(D55,[6]USE!A:D,4,0)</f>
        <v>C62</v>
      </c>
      <c r="H55" s="343"/>
      <c r="K55" s="337" t="s">
        <v>294</v>
      </c>
      <c r="L55" s="361" t="str">
        <f t="shared" si="4"/>
        <v>HEAD STOCK</v>
      </c>
      <c r="M55" s="337" t="str">
        <f t="shared" si="5"/>
        <v>C62</v>
      </c>
      <c r="N55" s="337" t="str">
        <f t="shared" si="6"/>
        <v>000206</v>
      </c>
      <c r="O55" s="360">
        <f t="shared" si="7"/>
        <v>53</v>
      </c>
    </row>
    <row r="56" spans="2:15" ht="30.75" customHeight="1">
      <c r="B56" s="347" t="s">
        <v>411</v>
      </c>
      <c r="C56" s="343" t="s">
        <v>316</v>
      </c>
      <c r="D56" s="343" t="str">
        <f>VLOOKUP(B56,[7]IV!$B$21:$C$80,2,0)</f>
        <v>HEAD STOCK</v>
      </c>
      <c r="E56" s="343" t="str">
        <f>VLOOKUP(D56,[6]USE!A:D,2,0)</f>
        <v>000206</v>
      </c>
      <c r="F56" s="343" t="str">
        <f>VLOOKUP(D56,[6]USE!A:E,3,0)</f>
        <v>PCS</v>
      </c>
      <c r="G56" s="343" t="str">
        <f>VLOOKUP(D56,[6]USE!A:D,4,0)</f>
        <v>C62</v>
      </c>
      <c r="H56" s="343"/>
      <c r="K56" s="337" t="s">
        <v>322</v>
      </c>
      <c r="L56" s="361" t="str">
        <f t="shared" si="4"/>
        <v>X-SLIDE</v>
      </c>
      <c r="M56" s="337" t="str">
        <f t="shared" si="5"/>
        <v>C62</v>
      </c>
      <c r="N56" s="337" t="str">
        <f t="shared" si="6"/>
        <v>000004</v>
      </c>
      <c r="O56" s="360">
        <f t="shared" si="7"/>
        <v>54</v>
      </c>
    </row>
    <row r="57" spans="2:15" ht="30.75" customHeight="1">
      <c r="B57" s="347" t="s">
        <v>412</v>
      </c>
      <c r="C57" s="343" t="s">
        <v>413</v>
      </c>
      <c r="D57" s="343" t="s">
        <v>294</v>
      </c>
      <c r="E57" s="343" t="str">
        <f>VLOOKUP(D57,[6]USE!A:D,2,0)</f>
        <v>000206</v>
      </c>
      <c r="F57" s="343" t="str">
        <f>VLOOKUP(D57,[6]USE!A:E,3,0)</f>
        <v>PCS</v>
      </c>
      <c r="G57" s="343" t="str">
        <f>VLOOKUP(D57,[6]USE!A:D,4,0)</f>
        <v>C62</v>
      </c>
      <c r="H57" s="343"/>
      <c r="K57" s="337" t="s">
        <v>291</v>
      </c>
      <c r="L57" s="361" t="str">
        <f t="shared" si="4"/>
        <v>CROSS SLIDE</v>
      </c>
      <c r="M57" s="337" t="str">
        <f t="shared" si="5"/>
        <v>C62</v>
      </c>
      <c r="N57" s="337" t="str">
        <f t="shared" si="6"/>
        <v>000002</v>
      </c>
      <c r="O57" s="360">
        <f t="shared" si="7"/>
        <v>55</v>
      </c>
    </row>
    <row r="58" spans="2:15" ht="30.75" customHeight="1">
      <c r="B58" s="347" t="s">
        <v>414</v>
      </c>
      <c r="C58" s="343" t="s">
        <v>301</v>
      </c>
      <c r="D58" s="343" t="s">
        <v>294</v>
      </c>
      <c r="E58" s="343" t="str">
        <f>VLOOKUP(D58,[6]USE!A:D,2,0)</f>
        <v>000206</v>
      </c>
      <c r="F58" s="343" t="str">
        <f>VLOOKUP(D58,[6]USE!A:E,3,0)</f>
        <v>PCS</v>
      </c>
      <c r="G58" s="343" t="str">
        <f>VLOOKUP(D58,[6]USE!A:D,4,0)</f>
        <v>C62</v>
      </c>
      <c r="H58" s="343"/>
      <c r="K58" s="337" t="s">
        <v>293</v>
      </c>
      <c r="L58" s="361" t="str">
        <f t="shared" si="4"/>
        <v>Z2 SLIDE</v>
      </c>
      <c r="M58" s="337" t="str">
        <f t="shared" si="5"/>
        <v>C62</v>
      </c>
      <c r="N58" s="337" t="str">
        <f t="shared" si="6"/>
        <v>000175</v>
      </c>
      <c r="O58" s="360">
        <f t="shared" si="7"/>
        <v>56</v>
      </c>
    </row>
    <row r="59" spans="2:15" ht="30.75" customHeight="1">
      <c r="B59" s="347" t="s">
        <v>415</v>
      </c>
      <c r="C59" s="343" t="s">
        <v>416</v>
      </c>
      <c r="D59" s="343" t="str">
        <f>VLOOKUP(B59,[7]IV!$B$21:$C$80,2,0)</f>
        <v>LEVER BRACKET</v>
      </c>
      <c r="E59" s="343" t="str">
        <f>VLOOKUP(D59,[6]USE!A:D,2,0)</f>
        <v>000135</v>
      </c>
      <c r="F59" s="343" t="str">
        <f>VLOOKUP(D59,[6]USE!A:E,3,0)</f>
        <v>PCS</v>
      </c>
      <c r="G59" s="343" t="str">
        <f>VLOOKUP(D59,[6]USE!A:D,4,0)</f>
        <v>C62</v>
      </c>
      <c r="H59" s="343"/>
      <c r="K59" s="337" t="s">
        <v>323</v>
      </c>
      <c r="L59" s="361" t="str">
        <f t="shared" si="4"/>
        <v>Y-SLIDE</v>
      </c>
      <c r="M59" s="337" t="str">
        <f t="shared" si="5"/>
        <v>C62</v>
      </c>
      <c r="N59" s="337" t="str">
        <f t="shared" si="6"/>
        <v>000186</v>
      </c>
      <c r="O59" s="360">
        <f t="shared" si="7"/>
        <v>57</v>
      </c>
    </row>
    <row r="60" spans="2:15" ht="30.75" customHeight="1">
      <c r="B60" s="347" t="s">
        <v>417</v>
      </c>
      <c r="C60" s="343" t="s">
        <v>290</v>
      </c>
      <c r="D60" s="343" t="s">
        <v>290</v>
      </c>
      <c r="E60" s="343" t="str">
        <f>VLOOKUP(D60,[6]USE!A:D,2,0)</f>
        <v>000003</v>
      </c>
      <c r="F60" s="343" t="str">
        <f>VLOOKUP(D60,[6]USE!A:E,3,0)</f>
        <v>PCS</v>
      </c>
      <c r="G60" s="343" t="str">
        <f>VLOOKUP(D60,[6]USE!A:D,4,0)</f>
        <v>C62</v>
      </c>
      <c r="H60" s="343"/>
      <c r="K60" s="337" t="s">
        <v>287</v>
      </c>
      <c r="L60" s="362" t="str">
        <f t="shared" ref="L60:L73" si="8">VLOOKUP(K60,C:F,2,0)</f>
        <v>BED</v>
      </c>
      <c r="M60" s="337" t="str">
        <f t="shared" ref="M60:M73" si="9">VLOOKUP(L60,D:G,4,0)</f>
        <v>C62</v>
      </c>
      <c r="N60" s="337" t="str">
        <f t="shared" ref="N60:N73" si="10">VLOOKUP(L60,D:H,2,0)</f>
        <v>000173</v>
      </c>
      <c r="O60" s="360">
        <f t="shared" ref="O60:O73" si="11">ROW(O58)</f>
        <v>58</v>
      </c>
    </row>
    <row r="61" spans="2:15" ht="30.75" customHeight="1">
      <c r="B61" s="347" t="s">
        <v>418</v>
      </c>
      <c r="C61" s="343" t="s">
        <v>290</v>
      </c>
      <c r="D61" s="343" t="str">
        <f>VLOOKUP(B61,[7]IV!$B$21:$C$80,2,0)</f>
        <v>MOTOR BRACKET</v>
      </c>
      <c r="E61" s="343" t="str">
        <f>VLOOKUP(D61,[6]USE!A:D,2,0)</f>
        <v>000003</v>
      </c>
      <c r="F61" s="343" t="str">
        <f>VLOOKUP(D61,[6]USE!A:E,3,0)</f>
        <v>PCS</v>
      </c>
      <c r="G61" s="343" t="str">
        <f>VLOOKUP(D61,[6]USE!A:D,4,0)</f>
        <v>C62</v>
      </c>
      <c r="H61" s="343"/>
      <c r="K61" s="337" t="s">
        <v>288</v>
      </c>
      <c r="L61" s="362" t="str">
        <f t="shared" si="8"/>
        <v>BED</v>
      </c>
      <c r="M61" s="337" t="str">
        <f t="shared" si="9"/>
        <v>C62</v>
      </c>
      <c r="N61" s="337" t="str">
        <f t="shared" si="10"/>
        <v>000173</v>
      </c>
      <c r="O61" s="360">
        <f t="shared" si="11"/>
        <v>59</v>
      </c>
    </row>
    <row r="62" spans="2:15" ht="30.75" customHeight="1">
      <c r="B62" s="347" t="s">
        <v>419</v>
      </c>
      <c r="C62" s="343" t="s">
        <v>308</v>
      </c>
      <c r="D62" s="343" t="s">
        <v>308</v>
      </c>
      <c r="E62" s="343" t="str">
        <f>VLOOKUP(D62,[6]USE!A:D,2,0)</f>
        <v>000187</v>
      </c>
      <c r="F62" s="343" t="str">
        <f>VLOOKUP(D62,[6]USE!A:E,3,0)</f>
        <v>PCS</v>
      </c>
      <c r="G62" s="343" t="str">
        <f>VLOOKUP(D62,[6]USE!A:D,4,0)</f>
        <v>C62</v>
      </c>
      <c r="H62" s="343"/>
      <c r="K62" s="337" t="s">
        <v>293</v>
      </c>
      <c r="L62" s="362" t="str">
        <f t="shared" si="8"/>
        <v>Z2 SLIDE</v>
      </c>
      <c r="M62" s="337" t="str">
        <f t="shared" si="9"/>
        <v>C62</v>
      </c>
      <c r="N62" s="337" t="str">
        <f t="shared" si="10"/>
        <v>000175</v>
      </c>
      <c r="O62" s="360">
        <f t="shared" si="11"/>
        <v>60</v>
      </c>
    </row>
    <row r="63" spans="2:15" ht="30.75" customHeight="1">
      <c r="B63" s="343" t="s">
        <v>420</v>
      </c>
      <c r="C63" s="343" t="s">
        <v>421</v>
      </c>
      <c r="D63" s="343" t="s">
        <v>308</v>
      </c>
      <c r="E63" s="343" t="str">
        <f>VLOOKUP(D63,[6]USE!A:D,2,0)</f>
        <v>000187</v>
      </c>
      <c r="F63" s="343" t="str">
        <f>VLOOKUP(D63,[6]USE!A:E,3,0)</f>
        <v>PCS</v>
      </c>
      <c r="G63" s="343" t="str">
        <f>VLOOKUP(D63,[6]USE!A:D,4,0)</f>
        <v>C62</v>
      </c>
      <c r="H63" s="343"/>
      <c r="K63" s="337" t="s">
        <v>295</v>
      </c>
      <c r="L63" s="362" t="str">
        <f t="shared" si="8"/>
        <v>TOOL POST</v>
      </c>
      <c r="M63" s="337" t="str">
        <f t="shared" si="9"/>
        <v>C62</v>
      </c>
      <c r="N63" s="337" t="str">
        <f t="shared" si="10"/>
        <v>000174</v>
      </c>
      <c r="O63" s="360">
        <f t="shared" si="11"/>
        <v>61</v>
      </c>
    </row>
    <row r="64" spans="2:15" ht="30.75" customHeight="1">
      <c r="B64" s="343" t="s">
        <v>420</v>
      </c>
      <c r="C64" s="343" t="s">
        <v>422</v>
      </c>
      <c r="D64" s="343" t="s">
        <v>308</v>
      </c>
      <c r="E64" s="343" t="str">
        <f>VLOOKUP(D64,[6]USE!A:D,2,0)</f>
        <v>000187</v>
      </c>
      <c r="F64" s="343" t="str">
        <f>VLOOKUP(D64,[6]USE!A:E,3,0)</f>
        <v>PCS</v>
      </c>
      <c r="G64" s="343" t="str">
        <f>VLOOKUP(D64,[6]USE!A:D,4,0)</f>
        <v>C62</v>
      </c>
      <c r="H64" s="343"/>
      <c r="K64" s="337" t="s">
        <v>299</v>
      </c>
      <c r="L64" s="362" t="str">
        <f t="shared" si="8"/>
        <v>SLEEVE HOLDER</v>
      </c>
      <c r="M64" s="337" t="str">
        <f t="shared" si="9"/>
        <v>C62</v>
      </c>
      <c r="N64" s="337" t="str">
        <f t="shared" si="10"/>
        <v>000119</v>
      </c>
      <c r="O64" s="360">
        <f t="shared" si="11"/>
        <v>62</v>
      </c>
    </row>
    <row r="65" spans="2:15" ht="30.75" customHeight="1">
      <c r="B65" s="347" t="s">
        <v>423</v>
      </c>
      <c r="C65" s="343" t="s">
        <v>424</v>
      </c>
      <c r="D65" s="343" t="s">
        <v>353</v>
      </c>
      <c r="E65" s="343" t="str">
        <f>VLOOKUP(D65,[6]USE!A:D,2,0)</f>
        <v>000173</v>
      </c>
      <c r="F65" s="343" t="str">
        <f>VLOOKUP(D65,[6]USE!A:E,3,0)</f>
        <v>PCS</v>
      </c>
      <c r="G65" s="343" t="str">
        <f>VLOOKUP(D65,[6]USE!A:D,4,0)</f>
        <v>C62</v>
      </c>
      <c r="H65" s="343"/>
      <c r="K65" s="337" t="s">
        <v>312</v>
      </c>
      <c r="L65" s="362" t="str">
        <f t="shared" si="8"/>
        <v>TOOL POST</v>
      </c>
      <c r="M65" s="337" t="str">
        <f t="shared" si="9"/>
        <v>C62</v>
      </c>
      <c r="N65" s="337" t="str">
        <f t="shared" si="10"/>
        <v>000174</v>
      </c>
      <c r="O65" s="360">
        <f t="shared" si="11"/>
        <v>63</v>
      </c>
    </row>
    <row r="66" spans="2:15" ht="30.75" customHeight="1">
      <c r="B66" s="347" t="s">
        <v>425</v>
      </c>
      <c r="C66" s="343" t="s">
        <v>283</v>
      </c>
      <c r="D66" s="343" t="s">
        <v>426</v>
      </c>
      <c r="E66" s="343" t="str">
        <f>VLOOKUP(D66,[6]USE!A:D,2,0)</f>
        <v>000001</v>
      </c>
      <c r="F66" s="343" t="str">
        <f>VLOOKUP(D66,[6]USE!A:E,3,0)</f>
        <v>PCS</v>
      </c>
      <c r="G66" s="343" t="str">
        <f>VLOOKUP(D66,[6]USE!A:D,4,0)</f>
        <v>C62</v>
      </c>
      <c r="H66" s="343"/>
      <c r="K66" s="337" t="s">
        <v>313</v>
      </c>
      <c r="L66" s="362" t="str">
        <f t="shared" si="8"/>
        <v>CROSS SLIDE</v>
      </c>
      <c r="M66" s="337" t="str">
        <f t="shared" si="9"/>
        <v>C62</v>
      </c>
      <c r="N66" s="337" t="str">
        <f t="shared" si="10"/>
        <v>000002</v>
      </c>
      <c r="O66" s="360">
        <f t="shared" si="11"/>
        <v>64</v>
      </c>
    </row>
    <row r="67" spans="2:15" ht="30.75" customHeight="1">
      <c r="B67" s="347" t="s">
        <v>427</v>
      </c>
      <c r="C67" s="343" t="s">
        <v>310</v>
      </c>
      <c r="D67" s="343" t="s">
        <v>374</v>
      </c>
      <c r="E67" s="343" t="str">
        <f>VLOOKUP(D67,[6]USE!A:D,2,0)</f>
        <v>000084</v>
      </c>
      <c r="F67" s="343" t="str">
        <f>VLOOKUP(D67,[6]USE!A:E,3,0)</f>
        <v>PCS</v>
      </c>
      <c r="G67" s="343" t="str">
        <f>VLOOKUP(D67,[6]USE!A:D,4,0)</f>
        <v>C62</v>
      </c>
      <c r="H67" s="343"/>
      <c r="K67" s="337" t="s">
        <v>315</v>
      </c>
      <c r="L67" s="362" t="str">
        <f t="shared" si="8"/>
        <v>Z2 SLIDE</v>
      </c>
      <c r="M67" s="337" t="str">
        <f t="shared" si="9"/>
        <v>C62</v>
      </c>
      <c r="N67" s="337" t="str">
        <f t="shared" si="10"/>
        <v>000175</v>
      </c>
      <c r="O67" s="360">
        <f t="shared" si="11"/>
        <v>65</v>
      </c>
    </row>
    <row r="68" spans="2:15" ht="30.75" customHeight="1">
      <c r="B68" s="347" t="s">
        <v>428</v>
      </c>
      <c r="C68" s="343" t="s">
        <v>429</v>
      </c>
      <c r="D68" s="343" t="str">
        <f>VLOOKUP(B68,[7]IV!$B$21:$C$80,2,0)</f>
        <v>CROSS SLIDE</v>
      </c>
      <c r="E68" s="343" t="str">
        <f>VLOOKUP(D68,[6]USE!A:D,2,0)</f>
        <v>000002</v>
      </c>
      <c r="F68" s="343" t="str">
        <f>VLOOKUP(D68,[6]USE!A:E,3,0)</f>
        <v>PCS</v>
      </c>
      <c r="G68" s="343" t="str">
        <f>VLOOKUP(D68,[6]USE!A:D,4,0)</f>
        <v>C62</v>
      </c>
      <c r="H68" s="343"/>
      <c r="K68" s="337" t="s">
        <v>316</v>
      </c>
      <c r="L68" s="362" t="str">
        <f t="shared" si="8"/>
        <v>HEAD STOCK</v>
      </c>
      <c r="M68" s="337" t="str">
        <f t="shared" si="9"/>
        <v>C62</v>
      </c>
      <c r="N68" s="337" t="str">
        <f t="shared" si="10"/>
        <v>000206</v>
      </c>
      <c r="O68" s="360">
        <f t="shared" si="11"/>
        <v>66</v>
      </c>
    </row>
    <row r="69" spans="2:15" ht="30.75" customHeight="1">
      <c r="B69" s="349" t="s">
        <v>430</v>
      </c>
      <c r="C69" s="345" t="s">
        <v>431</v>
      </c>
      <c r="D69" s="345" t="s">
        <v>432</v>
      </c>
      <c r="E69" s="346" t="s">
        <v>433</v>
      </c>
      <c r="F69" s="345" t="s">
        <v>7</v>
      </c>
      <c r="G69" s="343" t="s">
        <v>434</v>
      </c>
      <c r="H69" s="345" t="s">
        <v>435</v>
      </c>
      <c r="K69" s="337" t="s">
        <v>295</v>
      </c>
      <c r="L69" s="362" t="str">
        <f t="shared" si="8"/>
        <v>TOOL POST</v>
      </c>
      <c r="M69" s="337" t="str">
        <f t="shared" si="9"/>
        <v>C62</v>
      </c>
      <c r="N69" s="337" t="str">
        <f t="shared" si="10"/>
        <v>000174</v>
      </c>
      <c r="O69" s="360">
        <f t="shared" si="11"/>
        <v>67</v>
      </c>
    </row>
    <row r="70" spans="2:15" ht="30.75" customHeight="1">
      <c r="B70" s="347" t="s">
        <v>436</v>
      </c>
      <c r="C70" s="343" t="s">
        <v>299</v>
      </c>
      <c r="D70" s="343" t="s">
        <v>299</v>
      </c>
      <c r="E70" s="343" t="str">
        <f>VLOOKUP(D70,[6]USE!A:D,2,0)</f>
        <v>000119</v>
      </c>
      <c r="F70" s="343" t="str">
        <f>VLOOKUP(D70,[6]USE!A:E,3,0)</f>
        <v>PCS</v>
      </c>
      <c r="G70" s="343" t="str">
        <f>VLOOKUP(D70,[6]USE!A:D,4,0)</f>
        <v>C62</v>
      </c>
      <c r="H70" s="343"/>
      <c r="K70" s="337" t="s">
        <v>296</v>
      </c>
      <c r="L70" s="362" t="str">
        <f t="shared" si="8"/>
        <v>X-SLIDE</v>
      </c>
      <c r="M70" s="337" t="str">
        <f t="shared" si="9"/>
        <v>C62</v>
      </c>
      <c r="N70" s="337" t="str">
        <f t="shared" si="10"/>
        <v>000004</v>
      </c>
      <c r="O70" s="360">
        <f t="shared" si="11"/>
        <v>68</v>
      </c>
    </row>
    <row r="71" spans="2:15" ht="30.75" customHeight="1">
      <c r="B71" s="347" t="s">
        <v>437</v>
      </c>
      <c r="C71" s="343" t="s">
        <v>438</v>
      </c>
      <c r="D71" s="343" t="str">
        <f>VLOOKUP(B71,[7]IV!$B$21:$C$80,2,0)</f>
        <v>SLEEVE HOLDER</v>
      </c>
      <c r="E71" s="343" t="str">
        <f>VLOOKUP(D71,[6]USE!A:D,2,0)</f>
        <v>000119</v>
      </c>
      <c r="F71" s="343" t="str">
        <f>VLOOKUP(D71,[6]USE!A:E,3,0)</f>
        <v>PCS</v>
      </c>
      <c r="G71" s="343" t="str">
        <f>VLOOKUP(D71,[6]USE!A:D,4,0)</f>
        <v>C62</v>
      </c>
      <c r="H71" s="343"/>
      <c r="K71" s="337" t="s">
        <v>317</v>
      </c>
      <c r="L71" s="362" t="str">
        <f t="shared" si="8"/>
        <v>CROSS SLIDE</v>
      </c>
      <c r="M71" s="337" t="str">
        <f t="shared" si="9"/>
        <v>C62</v>
      </c>
      <c r="N71" s="337" t="str">
        <f t="shared" si="10"/>
        <v>000002</v>
      </c>
      <c r="O71" s="360">
        <f t="shared" si="11"/>
        <v>69</v>
      </c>
    </row>
    <row r="72" spans="2:15" ht="30.75" customHeight="1">
      <c r="B72" s="347" t="s">
        <v>439</v>
      </c>
      <c r="C72" s="343" t="s">
        <v>440</v>
      </c>
      <c r="D72" s="343" t="str">
        <f>VLOOKUP(B72,[7]IV!$B$21:$C$80,2,0)</f>
        <v>SLEEVE HOLDER</v>
      </c>
      <c r="E72" s="343" t="str">
        <f>VLOOKUP(D72,[6]USE!A:D,2,0)</f>
        <v>000119</v>
      </c>
      <c r="F72" s="343" t="str">
        <f>VLOOKUP(D72,[6]USE!A:E,3,0)</f>
        <v>PCS</v>
      </c>
      <c r="G72" s="343" t="str">
        <f>VLOOKUP(D72,[6]USE!A:D,4,0)</f>
        <v>C62</v>
      </c>
      <c r="H72" s="343"/>
      <c r="K72" s="337" t="s">
        <v>293</v>
      </c>
      <c r="L72" s="362" t="str">
        <f t="shared" si="8"/>
        <v>Z2 SLIDE</v>
      </c>
      <c r="M72" s="337" t="str">
        <f t="shared" si="9"/>
        <v>C62</v>
      </c>
      <c r="N72" s="337" t="str">
        <f t="shared" si="10"/>
        <v>000175</v>
      </c>
      <c r="O72" s="360">
        <f t="shared" si="11"/>
        <v>70</v>
      </c>
    </row>
    <row r="73" spans="2:15" ht="30.75" customHeight="1">
      <c r="B73" s="347" t="s">
        <v>441</v>
      </c>
      <c r="C73" s="343" t="s">
        <v>442</v>
      </c>
      <c r="D73" s="343" t="s">
        <v>443</v>
      </c>
      <c r="E73" s="343" t="str">
        <f>VLOOKUP(D73,[6]USE!A:D,2,0)</f>
        <v>000008</v>
      </c>
      <c r="F73" s="343" t="str">
        <f>VLOOKUP(D73,[6]USE!A:E,3,0)</f>
        <v>PCS</v>
      </c>
      <c r="G73" s="343" t="str">
        <f>VLOOKUP(D73,[6]USE!A:D,4,0)</f>
        <v>C62</v>
      </c>
      <c r="H73" s="343"/>
      <c r="K73" s="337" t="s">
        <v>293</v>
      </c>
      <c r="L73" s="362" t="str">
        <f t="shared" si="8"/>
        <v>Z2 SLIDE</v>
      </c>
      <c r="M73" s="337" t="str">
        <f t="shared" si="9"/>
        <v>C62</v>
      </c>
      <c r="N73" s="337" t="str">
        <f t="shared" si="10"/>
        <v>000175</v>
      </c>
      <c r="O73" s="360">
        <f t="shared" si="11"/>
        <v>71</v>
      </c>
    </row>
    <row r="74" spans="2:15" ht="30.75" customHeight="1">
      <c r="B74" s="347" t="s">
        <v>444</v>
      </c>
      <c r="C74" s="343" t="s">
        <v>314</v>
      </c>
      <c r="D74" s="343" t="str">
        <f>VLOOKUP(B74,[7]IV!$B$21:$C$80,2,0)</f>
        <v>SLIDE BASE</v>
      </c>
      <c r="E74" s="343" t="str">
        <f>VLOOKUP(D74,[6]USE!A:D,2,0)</f>
        <v>000008</v>
      </c>
      <c r="F74" s="343" t="str">
        <f>VLOOKUP(D74,[6]USE!A:E,3,0)</f>
        <v>PCS</v>
      </c>
      <c r="G74" s="343" t="str">
        <f>VLOOKUP(D74,[6]USE!A:D,4,0)</f>
        <v>C62</v>
      </c>
      <c r="H74" s="343"/>
      <c r="K74" s="337" t="s">
        <v>285</v>
      </c>
      <c r="L74" s="361" t="str">
        <f t="shared" ref="L74:L82" si="12">VLOOKUP(K74,C:F,2,0)</f>
        <v>BED</v>
      </c>
      <c r="M74" s="337" t="str">
        <f t="shared" ref="M74:M82" si="13">VLOOKUP(L74,D:G,4,0)</f>
        <v>C62</v>
      </c>
      <c r="N74" s="337" t="str">
        <f t="shared" ref="N74:N82" si="14">VLOOKUP(L74,D:H,2,0)</f>
        <v>000173</v>
      </c>
      <c r="O74" s="360">
        <f t="shared" ref="O74:O82" si="15">ROW(O72)</f>
        <v>72</v>
      </c>
    </row>
    <row r="75" spans="2:15" ht="30.75" customHeight="1">
      <c r="B75" s="347" t="s">
        <v>445</v>
      </c>
      <c r="C75" s="343" t="s">
        <v>295</v>
      </c>
      <c r="D75" s="343" t="s">
        <v>295</v>
      </c>
      <c r="E75" s="343" t="str">
        <f>VLOOKUP(D75,[6]USE!A:D,2,0)</f>
        <v>000174</v>
      </c>
      <c r="F75" s="343" t="str">
        <f>VLOOKUP(D75,[6]USE!A:E,3,0)</f>
        <v>PCS</v>
      </c>
      <c r="G75" s="343" t="str">
        <f>VLOOKUP(D75,[6]USE!A:D,4,0)</f>
        <v>C62</v>
      </c>
      <c r="H75" s="343"/>
      <c r="K75" s="337" t="s">
        <v>288</v>
      </c>
      <c r="L75" s="361" t="str">
        <f t="shared" si="12"/>
        <v>BED</v>
      </c>
      <c r="M75" s="337" t="str">
        <f t="shared" si="13"/>
        <v>C62</v>
      </c>
      <c r="N75" s="337" t="str">
        <f t="shared" si="14"/>
        <v>000173</v>
      </c>
      <c r="O75" s="360">
        <f t="shared" si="15"/>
        <v>73</v>
      </c>
    </row>
    <row r="76" spans="2:15" ht="30.75" customHeight="1">
      <c r="B76" s="343" t="s">
        <v>446</v>
      </c>
      <c r="C76" s="343" t="s">
        <v>295</v>
      </c>
      <c r="D76" s="343" t="s">
        <v>295</v>
      </c>
      <c r="E76" s="343" t="str">
        <f>VLOOKUP(D76,[6]USE!A:D,2,0)</f>
        <v>000174</v>
      </c>
      <c r="F76" s="343" t="str">
        <f>VLOOKUP(D76,[6]USE!A:E,3,0)</f>
        <v>PCS</v>
      </c>
      <c r="G76" s="343" t="str">
        <f>VLOOKUP(D76,[6]USE!A:D,4,0)</f>
        <v>C62</v>
      </c>
      <c r="H76" s="343"/>
      <c r="K76" s="337" t="s">
        <v>289</v>
      </c>
      <c r="L76" s="361" t="str">
        <f t="shared" si="12"/>
        <v>BED</v>
      </c>
      <c r="M76" s="337" t="str">
        <f t="shared" si="13"/>
        <v>C62</v>
      </c>
      <c r="N76" s="337" t="str">
        <f t="shared" si="14"/>
        <v>000173</v>
      </c>
      <c r="O76" s="360">
        <f t="shared" si="15"/>
        <v>74</v>
      </c>
    </row>
    <row r="77" spans="2:15" ht="30.75" customHeight="1">
      <c r="B77" s="347" t="s">
        <v>447</v>
      </c>
      <c r="C77" s="343" t="s">
        <v>295</v>
      </c>
      <c r="D77" s="343" t="s">
        <v>295</v>
      </c>
      <c r="E77" s="343" t="str">
        <f>VLOOKUP(D77,[6]USE!A:D,2,0)</f>
        <v>000174</v>
      </c>
      <c r="F77" s="343" t="str">
        <f>VLOOKUP(D77,[6]USE!A:E,3,0)</f>
        <v>PCS</v>
      </c>
      <c r="G77" s="343" t="str">
        <f>VLOOKUP(D77,[6]USE!A:D,4,0)</f>
        <v>C62</v>
      </c>
      <c r="H77" s="343"/>
      <c r="K77" s="337" t="s">
        <v>291</v>
      </c>
      <c r="L77" s="361" t="str">
        <f t="shared" si="12"/>
        <v>CROSS SLIDE</v>
      </c>
      <c r="M77" s="337" t="str">
        <f t="shared" si="13"/>
        <v>C62</v>
      </c>
      <c r="N77" s="337" t="str">
        <f t="shared" si="14"/>
        <v>000002</v>
      </c>
      <c r="O77" s="360">
        <f t="shared" si="15"/>
        <v>75</v>
      </c>
    </row>
    <row r="78" spans="2:15" ht="30.75" customHeight="1">
      <c r="B78" s="347" t="s">
        <v>448</v>
      </c>
      <c r="C78" s="343" t="s">
        <v>449</v>
      </c>
      <c r="D78" s="343" t="s">
        <v>295</v>
      </c>
      <c r="E78" s="343" t="str">
        <f>VLOOKUP(D78,[6]USE!A:D,2,0)</f>
        <v>000174</v>
      </c>
      <c r="F78" s="343" t="str">
        <f>VLOOKUP(D78,[6]USE!A:E,3,0)</f>
        <v>PCS</v>
      </c>
      <c r="G78" s="343" t="str">
        <f>VLOOKUP(D78,[6]USE!A:D,4,0)</f>
        <v>C62</v>
      </c>
      <c r="H78" s="343"/>
      <c r="K78" s="337" t="s">
        <v>302</v>
      </c>
      <c r="L78" s="361" t="str">
        <f t="shared" si="12"/>
        <v>TOOL POST</v>
      </c>
      <c r="M78" s="337" t="str">
        <f t="shared" si="13"/>
        <v>C62</v>
      </c>
      <c r="N78" s="337" t="str">
        <f t="shared" si="14"/>
        <v>000174</v>
      </c>
      <c r="O78" s="360">
        <f t="shared" si="15"/>
        <v>76</v>
      </c>
    </row>
    <row r="79" spans="2:15" ht="30.75" customHeight="1">
      <c r="B79" s="347" t="s">
        <v>450</v>
      </c>
      <c r="C79" s="343" t="s">
        <v>451</v>
      </c>
      <c r="D79" s="343" t="s">
        <v>295</v>
      </c>
      <c r="E79" s="343" t="str">
        <f>VLOOKUP(D79,[6]USE!A:D,2,0)</f>
        <v>000174</v>
      </c>
      <c r="F79" s="343" t="str">
        <f>VLOOKUP(D79,[6]USE!A:E,3,0)</f>
        <v>PCS</v>
      </c>
      <c r="G79" s="343" t="str">
        <f>VLOOKUP(D79,[6]USE!A:D,4,0)</f>
        <v>C62</v>
      </c>
      <c r="H79" s="343"/>
      <c r="K79" s="337" t="s">
        <v>312</v>
      </c>
      <c r="L79" s="361" t="str">
        <f t="shared" si="12"/>
        <v>TOOL POST</v>
      </c>
      <c r="M79" s="337" t="str">
        <f t="shared" si="13"/>
        <v>C62</v>
      </c>
      <c r="N79" s="337" t="str">
        <f t="shared" si="14"/>
        <v>000174</v>
      </c>
      <c r="O79" s="360">
        <f t="shared" si="15"/>
        <v>77</v>
      </c>
    </row>
    <row r="80" spans="2:15" ht="30.75" customHeight="1">
      <c r="B80" s="347" t="s">
        <v>452</v>
      </c>
      <c r="C80" s="343" t="s">
        <v>312</v>
      </c>
      <c r="D80" s="343" t="str">
        <f>VLOOKUP(B80,[7]IV!$B$21:$C$80,2,0)</f>
        <v>TOOL POST</v>
      </c>
      <c r="E80" s="343" t="str">
        <f>VLOOKUP(D80,[6]USE!A:D,2,0)</f>
        <v>000174</v>
      </c>
      <c r="F80" s="343" t="str">
        <f>VLOOKUP(D80,[6]USE!A:E,3,0)</f>
        <v>PCS</v>
      </c>
      <c r="G80" s="343" t="str">
        <f>VLOOKUP(D80,[6]USE!A:D,4,0)</f>
        <v>C62</v>
      </c>
      <c r="H80" s="343"/>
      <c r="K80" s="337" t="s">
        <v>295</v>
      </c>
      <c r="L80" s="361" t="str">
        <f t="shared" si="12"/>
        <v>TOOL POST</v>
      </c>
      <c r="M80" s="337" t="str">
        <f t="shared" si="13"/>
        <v>C62</v>
      </c>
      <c r="N80" s="337" t="str">
        <f t="shared" si="14"/>
        <v>000174</v>
      </c>
      <c r="O80" s="360">
        <f t="shared" si="15"/>
        <v>78</v>
      </c>
    </row>
    <row r="81" spans="2:15" ht="30.75" customHeight="1">
      <c r="B81" s="347" t="s">
        <v>453</v>
      </c>
      <c r="C81" s="343" t="s">
        <v>302</v>
      </c>
      <c r="D81" s="343" t="s">
        <v>295</v>
      </c>
      <c r="E81" s="343" t="str">
        <f>VLOOKUP(D81,[6]USE!A:D,2,0)</f>
        <v>000174</v>
      </c>
      <c r="F81" s="343" t="str">
        <f>VLOOKUP(D81,[6]USE!A:E,3,0)</f>
        <v>PCS</v>
      </c>
      <c r="G81" s="343" t="str">
        <f>VLOOKUP(D81,[6]USE!A:D,4,0)</f>
        <v>C62</v>
      </c>
      <c r="H81" s="343"/>
      <c r="K81" s="337" t="s">
        <v>291</v>
      </c>
      <c r="L81" s="361" t="str">
        <f t="shared" si="12"/>
        <v>CROSS SLIDE</v>
      </c>
      <c r="M81" s="337" t="str">
        <f t="shared" si="13"/>
        <v>C62</v>
      </c>
      <c r="N81" s="337" t="str">
        <f t="shared" si="14"/>
        <v>000002</v>
      </c>
      <c r="O81" s="360">
        <f t="shared" si="15"/>
        <v>79</v>
      </c>
    </row>
    <row r="82" spans="2:15" ht="30.75" customHeight="1">
      <c r="B82" s="347" t="s">
        <v>454</v>
      </c>
      <c r="C82" s="343" t="s">
        <v>296</v>
      </c>
      <c r="D82" s="343" t="s">
        <v>455</v>
      </c>
      <c r="E82" s="343" t="str">
        <f>VLOOKUP(D82,[6]USE!A:D,2,0)</f>
        <v>000004</v>
      </c>
      <c r="F82" s="343" t="str">
        <f>VLOOKUP(D82,[6]USE!A:E,3,0)</f>
        <v>PCS</v>
      </c>
      <c r="G82" s="343" t="str">
        <f>VLOOKUP(D82,[6]USE!A:D,4,0)</f>
        <v>C62</v>
      </c>
      <c r="H82" s="343"/>
      <c r="K82" s="337" t="s">
        <v>294</v>
      </c>
      <c r="L82" s="361" t="str">
        <f t="shared" si="12"/>
        <v>HEAD STOCK</v>
      </c>
      <c r="M82" s="337" t="str">
        <f t="shared" si="13"/>
        <v>C62</v>
      </c>
      <c r="N82" s="337" t="str">
        <f t="shared" si="14"/>
        <v>000206</v>
      </c>
      <c r="O82" s="360">
        <f t="shared" si="15"/>
        <v>80</v>
      </c>
    </row>
    <row r="83" spans="2:15" ht="30.75" customHeight="1">
      <c r="B83" s="347" t="s">
        <v>456</v>
      </c>
      <c r="C83" s="343" t="s">
        <v>457</v>
      </c>
      <c r="D83" s="343" t="s">
        <v>455</v>
      </c>
      <c r="E83" s="343" t="str">
        <f>VLOOKUP(D83,[6]USE!A:D,2,0)</f>
        <v>000004</v>
      </c>
      <c r="F83" s="343" t="str">
        <f>VLOOKUP(D83,[6]USE!A:E,3,0)</f>
        <v>PCS</v>
      </c>
      <c r="G83" s="343" t="str">
        <f>VLOOKUP(D83,[6]USE!A:D,4,0)</f>
        <v>C62</v>
      </c>
      <c r="H83" s="343"/>
      <c r="K83" s="337" t="s">
        <v>283</v>
      </c>
      <c r="L83" s="364" t="str">
        <f t="shared" ref="L83:L102" si="16">VLOOKUP(K83,C:F,2,0)</f>
        <v>BODY</v>
      </c>
      <c r="M83" s="337" t="str">
        <f t="shared" ref="M83:M102" si="17">VLOOKUP(L83,D:G,4,0)</f>
        <v>C62</v>
      </c>
      <c r="N83" s="337" t="str">
        <f t="shared" ref="N83:N102" si="18">VLOOKUP(L83,D:H,2,0)</f>
        <v>000001</v>
      </c>
      <c r="O83" s="360">
        <f t="shared" ref="O83:O102" si="19">ROW(O81)</f>
        <v>81</v>
      </c>
    </row>
    <row r="84" spans="2:15" ht="30.75" customHeight="1">
      <c r="B84" s="343" t="s">
        <v>456</v>
      </c>
      <c r="C84" s="343" t="s">
        <v>458</v>
      </c>
      <c r="D84" s="343" t="s">
        <v>455</v>
      </c>
      <c r="E84" s="343" t="str">
        <f>VLOOKUP(D84,[6]USE!A:D,2,0)</f>
        <v>000004</v>
      </c>
      <c r="F84" s="343" t="str">
        <f>VLOOKUP(D84,[6]USE!A:E,3,0)</f>
        <v>PCS</v>
      </c>
      <c r="G84" s="343" t="str">
        <f>VLOOKUP(D84,[6]USE!A:D,4,0)</f>
        <v>C62</v>
      </c>
      <c r="H84" s="343"/>
      <c r="K84" s="337" t="s">
        <v>286</v>
      </c>
      <c r="L84" s="364" t="str">
        <f t="shared" si="16"/>
        <v>BED</v>
      </c>
      <c r="M84" s="337" t="str">
        <f t="shared" si="17"/>
        <v>C62</v>
      </c>
      <c r="N84" s="337" t="str">
        <f t="shared" si="18"/>
        <v>000173</v>
      </c>
      <c r="O84" s="360">
        <f t="shared" si="19"/>
        <v>82</v>
      </c>
    </row>
    <row r="85" spans="2:15" ht="30.75" customHeight="1">
      <c r="B85" s="347" t="s">
        <v>459</v>
      </c>
      <c r="C85" s="343" t="s">
        <v>460</v>
      </c>
      <c r="D85" s="343" t="s">
        <v>455</v>
      </c>
      <c r="E85" s="343" t="str">
        <f>VLOOKUP(D85,[6]USE!A:D,2,0)</f>
        <v>000004</v>
      </c>
      <c r="F85" s="343" t="str">
        <f>VLOOKUP(D85,[6]USE!A:E,3,0)</f>
        <v>PCS</v>
      </c>
      <c r="G85" s="343" t="str">
        <f>VLOOKUP(D85,[6]USE!A:D,4,0)</f>
        <v>C62</v>
      </c>
      <c r="H85" s="343"/>
      <c r="K85" s="337" t="s">
        <v>288</v>
      </c>
      <c r="L85" s="364" t="str">
        <f t="shared" si="16"/>
        <v>BED</v>
      </c>
      <c r="M85" s="337" t="str">
        <f t="shared" si="17"/>
        <v>C62</v>
      </c>
      <c r="N85" s="337" t="str">
        <f t="shared" si="18"/>
        <v>000173</v>
      </c>
      <c r="O85" s="360">
        <f t="shared" si="19"/>
        <v>83</v>
      </c>
    </row>
    <row r="86" spans="2:15" ht="30.75" customHeight="1">
      <c r="B86" s="347" t="s">
        <v>461</v>
      </c>
      <c r="C86" s="343" t="s">
        <v>460</v>
      </c>
      <c r="D86" s="343" t="s">
        <v>455</v>
      </c>
      <c r="E86" s="343" t="str">
        <f>VLOOKUP(D86,[6]USE!A:D,2,0)</f>
        <v>000004</v>
      </c>
      <c r="F86" s="343" t="str">
        <f>VLOOKUP(D86,[6]USE!A:E,3,0)</f>
        <v>PCS</v>
      </c>
      <c r="G86" s="343" t="str">
        <f>VLOOKUP(D86,[6]USE!A:D,4,0)</f>
        <v>C62</v>
      </c>
      <c r="H86" s="343"/>
      <c r="K86" s="337" t="s">
        <v>290</v>
      </c>
      <c r="L86" s="364" t="str">
        <f t="shared" si="16"/>
        <v>MOTOR BRACKET</v>
      </c>
      <c r="M86" s="337" t="str">
        <f t="shared" si="17"/>
        <v>C62</v>
      </c>
      <c r="N86" s="337" t="str">
        <f t="shared" si="18"/>
        <v>000003</v>
      </c>
      <c r="O86" s="360">
        <f t="shared" si="19"/>
        <v>84</v>
      </c>
    </row>
    <row r="87" spans="2:15" ht="30.75" customHeight="1">
      <c r="B87" s="347" t="s">
        <v>462</v>
      </c>
      <c r="C87" s="343" t="s">
        <v>303</v>
      </c>
      <c r="D87" s="343" t="s">
        <v>455</v>
      </c>
      <c r="E87" s="343" t="str">
        <f>VLOOKUP(D87,[6]USE!A:D,2,0)</f>
        <v>000004</v>
      </c>
      <c r="F87" s="343" t="str">
        <f>VLOOKUP(D87,[6]USE!A:E,3,0)</f>
        <v>PCS</v>
      </c>
      <c r="G87" s="343" t="str">
        <f>VLOOKUP(D87,[6]USE!A:D,4,0)</f>
        <v>C62</v>
      </c>
      <c r="H87" s="343"/>
      <c r="K87" s="337" t="s">
        <v>291</v>
      </c>
      <c r="L87" s="364" t="str">
        <f t="shared" si="16"/>
        <v>CROSS SLIDE</v>
      </c>
      <c r="M87" s="337" t="str">
        <f t="shared" si="17"/>
        <v>C62</v>
      </c>
      <c r="N87" s="337" t="str">
        <f t="shared" si="18"/>
        <v>000002</v>
      </c>
      <c r="O87" s="360">
        <f t="shared" si="19"/>
        <v>85</v>
      </c>
    </row>
    <row r="88" spans="2:15" ht="30.75" customHeight="1">
      <c r="B88" s="347" t="s">
        <v>463</v>
      </c>
      <c r="C88" s="343" t="s">
        <v>464</v>
      </c>
      <c r="D88" s="343" t="s">
        <v>455</v>
      </c>
      <c r="E88" s="343" t="str">
        <f>VLOOKUP(D88,[6]USE!A:D,2,0)</f>
        <v>000004</v>
      </c>
      <c r="F88" s="343" t="str">
        <f>VLOOKUP(D88,[6]USE!A:E,3,0)</f>
        <v>PCS</v>
      </c>
      <c r="G88" s="343" t="str">
        <f>VLOOKUP(D88,[6]USE!A:D,4,0)</f>
        <v>C62</v>
      </c>
      <c r="H88" s="343"/>
      <c r="K88" s="337" t="s">
        <v>292</v>
      </c>
      <c r="L88" s="364" t="str">
        <f t="shared" si="16"/>
        <v>GUIDE BUSH BASE</v>
      </c>
      <c r="M88" s="337" t="str">
        <f t="shared" si="17"/>
        <v>C62</v>
      </c>
      <c r="N88" s="337" t="str">
        <f t="shared" si="18"/>
        <v>000213</v>
      </c>
      <c r="O88" s="360">
        <f t="shared" si="19"/>
        <v>86</v>
      </c>
    </row>
    <row r="89" spans="2:15" ht="30.75" customHeight="1">
      <c r="B89" s="347" t="s">
        <v>465</v>
      </c>
      <c r="C89" s="343" t="s">
        <v>466</v>
      </c>
      <c r="D89" s="343" t="s">
        <v>467</v>
      </c>
      <c r="E89" s="343" t="str">
        <f>VLOOKUP(D89,[6]USE!A:D,2,0)</f>
        <v>000186</v>
      </c>
      <c r="F89" s="343" t="str">
        <f>VLOOKUP(D89,[6]USE!A:E,3,0)</f>
        <v>PCS</v>
      </c>
      <c r="G89" s="343" t="str">
        <f>VLOOKUP(D89,[6]USE!A:D,4,0)</f>
        <v>C62</v>
      </c>
      <c r="H89" s="343"/>
      <c r="K89" s="337" t="s">
        <v>298</v>
      </c>
      <c r="L89" s="364" t="str">
        <f t="shared" si="16"/>
        <v>CHUCKING LEVER</v>
      </c>
      <c r="M89" s="337" t="str">
        <f t="shared" si="17"/>
        <v>C62</v>
      </c>
      <c r="N89" s="337" t="str">
        <f t="shared" si="18"/>
        <v>000084</v>
      </c>
      <c r="O89" s="360">
        <f t="shared" si="19"/>
        <v>87</v>
      </c>
    </row>
    <row r="90" spans="2:15" s="353" customFormat="1" ht="30.6" customHeight="1">
      <c r="B90" s="350" t="s">
        <v>273</v>
      </c>
      <c r="C90" s="351" t="s">
        <v>306</v>
      </c>
      <c r="D90" s="351" t="s">
        <v>467</v>
      </c>
      <c r="E90" s="351" t="str">
        <f>VLOOKUP(D90,[6]USE!A:D,2,0)</f>
        <v>000186</v>
      </c>
      <c r="F90" s="351" t="str">
        <f>VLOOKUP(D90,[6]USE!A:E,3,0)</f>
        <v>PCS</v>
      </c>
      <c r="G90" s="351" t="str">
        <f>VLOOKUP(D90,[6]USE!A:D,4,0)</f>
        <v>C62</v>
      </c>
      <c r="H90" s="352" t="s">
        <v>468</v>
      </c>
      <c r="K90" s="353" t="s">
        <v>300</v>
      </c>
      <c r="L90" s="365" t="str">
        <f t="shared" si="16"/>
        <v>BRACKET</v>
      </c>
      <c r="M90" s="353" t="str">
        <f t="shared" si="17"/>
        <v>C62</v>
      </c>
      <c r="N90" s="353" t="str">
        <f t="shared" si="18"/>
        <v>000006</v>
      </c>
      <c r="O90" s="363">
        <f t="shared" si="19"/>
        <v>88</v>
      </c>
    </row>
    <row r="91" spans="2:15" s="353" customFormat="1" ht="30.6" customHeight="1">
      <c r="B91" s="350" t="s">
        <v>282</v>
      </c>
      <c r="C91" s="351" t="s">
        <v>323</v>
      </c>
      <c r="D91" s="351" t="s">
        <v>467</v>
      </c>
      <c r="E91" s="351" t="str">
        <f>VLOOKUP(D91,[6]USE!A:D,2,0)</f>
        <v>000186</v>
      </c>
      <c r="F91" s="351" t="str">
        <f>VLOOKUP(D91,[6]USE!A:E,3,0)</f>
        <v>PCS</v>
      </c>
      <c r="G91" s="351" t="str">
        <f>VLOOKUP(D91,[6]USE!A:D,4,0)</f>
        <v>C62</v>
      </c>
      <c r="H91" s="352" t="s">
        <v>468</v>
      </c>
      <c r="K91" s="353" t="s">
        <v>301</v>
      </c>
      <c r="L91" s="365" t="str">
        <f t="shared" si="16"/>
        <v>HEAD STOCK</v>
      </c>
      <c r="M91" s="353" t="str">
        <f t="shared" si="17"/>
        <v>C62</v>
      </c>
      <c r="N91" s="353" t="str">
        <f t="shared" si="18"/>
        <v>000206</v>
      </c>
      <c r="O91" s="363">
        <f t="shared" si="19"/>
        <v>89</v>
      </c>
    </row>
    <row r="92" spans="2:15" ht="30.75" customHeight="1">
      <c r="B92" s="347" t="s">
        <v>469</v>
      </c>
      <c r="C92" s="343" t="s">
        <v>470</v>
      </c>
      <c r="D92" s="343" t="s">
        <v>467</v>
      </c>
      <c r="E92" s="343" t="str">
        <f>VLOOKUP(D92,[6]USE!A:D,2,0)</f>
        <v>000186</v>
      </c>
      <c r="F92" s="343" t="str">
        <f>VLOOKUP(D92,[6]USE!A:E,3,0)</f>
        <v>PCS</v>
      </c>
      <c r="G92" s="343" t="str">
        <f>VLOOKUP(D92,[6]USE!A:D,4,0)</f>
        <v>C62</v>
      </c>
      <c r="H92" s="343"/>
      <c r="K92" s="337" t="s">
        <v>302</v>
      </c>
      <c r="L92" s="364" t="str">
        <f t="shared" si="16"/>
        <v>TOOL POST</v>
      </c>
      <c r="M92" s="337" t="str">
        <f t="shared" si="17"/>
        <v>C62</v>
      </c>
      <c r="N92" s="337" t="str">
        <f t="shared" si="18"/>
        <v>000174</v>
      </c>
      <c r="O92" s="360">
        <f t="shared" si="19"/>
        <v>90</v>
      </c>
    </row>
    <row r="93" spans="2:15" ht="30.75" customHeight="1">
      <c r="B93" s="347" t="s">
        <v>245</v>
      </c>
      <c r="C93" s="343" t="s">
        <v>305</v>
      </c>
      <c r="D93" s="343" t="s">
        <v>467</v>
      </c>
      <c r="E93" s="343" t="str">
        <f>VLOOKUP(D93,[6]USE!A:D,2,0)</f>
        <v>000186</v>
      </c>
      <c r="F93" s="343" t="str">
        <f>VLOOKUP(D93,[6]USE!A:E,3,0)</f>
        <v>PCS</v>
      </c>
      <c r="G93" s="343" t="str">
        <f>VLOOKUP(D93,[6]USE!A:D,4,0)</f>
        <v>C62</v>
      </c>
      <c r="H93" s="343"/>
      <c r="K93" s="337" t="s">
        <v>305</v>
      </c>
      <c r="L93" s="364" t="str">
        <f t="shared" si="16"/>
        <v>Y-SLIDE</v>
      </c>
      <c r="M93" s="337" t="str">
        <f t="shared" si="17"/>
        <v>C62</v>
      </c>
      <c r="N93" s="337" t="str">
        <f t="shared" si="18"/>
        <v>000186</v>
      </c>
      <c r="O93" s="360">
        <f t="shared" si="19"/>
        <v>91</v>
      </c>
    </row>
    <row r="94" spans="2:15" ht="30.75" customHeight="1">
      <c r="B94" s="349" t="s">
        <v>471</v>
      </c>
      <c r="C94" s="345" t="s">
        <v>472</v>
      </c>
      <c r="D94" s="345" t="s">
        <v>467</v>
      </c>
      <c r="E94" s="345" t="str">
        <f>VLOOKUP(D94,[6]USE!A:D,2,0)</f>
        <v>000186</v>
      </c>
      <c r="F94" s="345" t="str">
        <f>VLOOKUP(D94,[6]USE!A:E,3,0)</f>
        <v>PCS</v>
      </c>
      <c r="G94" s="345" t="str">
        <f>VLOOKUP(D94,[6]USE!A:D,4,0)</f>
        <v>C62</v>
      </c>
      <c r="H94" s="345" t="s">
        <v>473</v>
      </c>
      <c r="K94" s="337" t="s">
        <v>309</v>
      </c>
      <c r="L94" s="364" t="str">
        <f t="shared" si="16"/>
        <v>CROSS SLIDE</v>
      </c>
      <c r="M94" s="337" t="str">
        <f t="shared" si="17"/>
        <v>C62</v>
      </c>
      <c r="N94" s="337" t="str">
        <f t="shared" si="18"/>
        <v>000002</v>
      </c>
      <c r="O94" s="360">
        <f t="shared" si="19"/>
        <v>92</v>
      </c>
    </row>
    <row r="95" spans="2:15" ht="30.75" customHeight="1">
      <c r="B95" s="349" t="s">
        <v>474</v>
      </c>
      <c r="C95" s="345" t="s">
        <v>472</v>
      </c>
      <c r="D95" s="345" t="s">
        <v>467</v>
      </c>
      <c r="E95" s="345" t="str">
        <f>VLOOKUP(D95,[6]USE!A:D,2,0)</f>
        <v>000186</v>
      </c>
      <c r="F95" s="345" t="str">
        <f>VLOOKUP(D95,[6]USE!A:E,3,0)</f>
        <v>PCS</v>
      </c>
      <c r="G95" s="345" t="str">
        <f>VLOOKUP(D95,[6]USE!A:D,4,0)</f>
        <v>C62</v>
      </c>
      <c r="H95" s="345" t="s">
        <v>475</v>
      </c>
      <c r="K95" s="337" t="s">
        <v>310</v>
      </c>
      <c r="L95" s="364" t="str">
        <f t="shared" si="16"/>
        <v>CHUCKING LEVER</v>
      </c>
      <c r="M95" s="337" t="str">
        <f t="shared" si="17"/>
        <v>C62</v>
      </c>
      <c r="N95" s="337" t="str">
        <f t="shared" si="18"/>
        <v>000084</v>
      </c>
      <c r="O95" s="360">
        <f t="shared" si="19"/>
        <v>93</v>
      </c>
    </row>
    <row r="96" spans="2:15" ht="30.75" customHeight="1">
      <c r="B96" s="345" t="s">
        <v>471</v>
      </c>
      <c r="C96" s="345" t="s">
        <v>476</v>
      </c>
      <c r="D96" s="345" t="s">
        <v>467</v>
      </c>
      <c r="E96" s="345" t="str">
        <f>VLOOKUP(D96,[6]USE!A:D,2,0)</f>
        <v>000186</v>
      </c>
      <c r="F96" s="345" t="str">
        <f>VLOOKUP(D96,[6]USE!A:E,3,0)</f>
        <v>PCS</v>
      </c>
      <c r="G96" s="345" t="str">
        <f>VLOOKUP(D96,[6]USE!A:D,4,0)</f>
        <v>C62</v>
      </c>
      <c r="H96" s="345"/>
      <c r="K96" s="337" t="s">
        <v>311</v>
      </c>
      <c r="L96" s="364" t="str">
        <f t="shared" si="16"/>
        <v>CHUCKING LEVER</v>
      </c>
      <c r="M96" s="337" t="str">
        <f t="shared" si="17"/>
        <v>C62</v>
      </c>
      <c r="N96" s="337" t="str">
        <f t="shared" si="18"/>
        <v>000084</v>
      </c>
      <c r="O96" s="360">
        <f t="shared" si="19"/>
        <v>94</v>
      </c>
    </row>
    <row r="97" spans="2:15" ht="30.75" customHeight="1">
      <c r="B97" s="343" t="s">
        <v>477</v>
      </c>
      <c r="C97" s="343" t="s">
        <v>293</v>
      </c>
      <c r="D97" s="343" t="s">
        <v>293</v>
      </c>
      <c r="E97" s="343" t="str">
        <f>VLOOKUP(D97,[6]USE!A:D,2,0)</f>
        <v>000175</v>
      </c>
      <c r="F97" s="343" t="str">
        <f>VLOOKUP(D97,[6]USE!A:E,3,0)</f>
        <v>PCS</v>
      </c>
      <c r="G97" s="343" t="str">
        <f>VLOOKUP(D97,[6]USE!A:D,4,0)</f>
        <v>C62</v>
      </c>
      <c r="H97" s="343"/>
      <c r="I97" s="354"/>
      <c r="K97" s="337" t="s">
        <v>313</v>
      </c>
      <c r="L97" s="364" t="str">
        <f t="shared" si="16"/>
        <v>CROSS SLIDE</v>
      </c>
      <c r="M97" s="337" t="str">
        <f t="shared" si="17"/>
        <v>C62</v>
      </c>
      <c r="N97" s="337" t="str">
        <f t="shared" si="18"/>
        <v>000002</v>
      </c>
      <c r="O97" s="360">
        <f t="shared" si="19"/>
        <v>95</v>
      </c>
    </row>
    <row r="98" spans="2:15" ht="30.75" customHeight="1">
      <c r="B98" s="343" t="s">
        <v>478</v>
      </c>
      <c r="C98" s="343" t="s">
        <v>293</v>
      </c>
      <c r="D98" s="343" t="s">
        <v>293</v>
      </c>
      <c r="E98" s="343" t="str">
        <f>VLOOKUP(D98,[6]USE!A:D,2,0)</f>
        <v>000175</v>
      </c>
      <c r="F98" s="343" t="str">
        <f>VLOOKUP(D98,[6]USE!A:E,3,0)</f>
        <v>PCS</v>
      </c>
      <c r="G98" s="343" t="str">
        <f>VLOOKUP(D98,[6]USE!A:D,4,0)</f>
        <v>C62</v>
      </c>
      <c r="H98" s="343"/>
      <c r="K98" s="337" t="s">
        <v>314</v>
      </c>
      <c r="L98" s="364" t="str">
        <f t="shared" si="16"/>
        <v>SLIDE BASE</v>
      </c>
      <c r="M98" s="337" t="str">
        <f t="shared" si="17"/>
        <v>C62</v>
      </c>
      <c r="N98" s="337" t="str">
        <f t="shared" si="18"/>
        <v>000008</v>
      </c>
      <c r="O98" s="360">
        <f t="shared" si="19"/>
        <v>96</v>
      </c>
    </row>
    <row r="99" spans="2:15" ht="30.75" customHeight="1">
      <c r="B99" s="347" t="s">
        <v>479</v>
      </c>
      <c r="C99" s="343" t="s">
        <v>480</v>
      </c>
      <c r="D99" s="343" t="str">
        <f>VLOOKUP(B99,[7]IV!$B$21:$C$80,2,0)</f>
        <v>Z2 SLIDE</v>
      </c>
      <c r="E99" s="343" t="str">
        <f>VLOOKUP(D99,[6]USE!A:D,2,0)</f>
        <v>000175</v>
      </c>
      <c r="F99" s="343" t="str">
        <f>VLOOKUP(D99,[6]USE!A:E,3,0)</f>
        <v>PCS</v>
      </c>
      <c r="G99" s="343" t="str">
        <f>VLOOKUP(D99,[6]USE!A:D,4,0)</f>
        <v>C62</v>
      </c>
      <c r="H99" s="343"/>
      <c r="K99" s="337" t="s">
        <v>318</v>
      </c>
      <c r="L99" s="364" t="str">
        <f t="shared" si="16"/>
        <v>Y-SLIDE</v>
      </c>
      <c r="M99" s="337" t="str">
        <f t="shared" si="17"/>
        <v>C62</v>
      </c>
      <c r="N99" s="337" t="str">
        <f t="shared" si="18"/>
        <v>000186</v>
      </c>
      <c r="O99" s="360">
        <f t="shared" si="19"/>
        <v>97</v>
      </c>
    </row>
    <row r="100" spans="2:15" ht="30.75" customHeight="1">
      <c r="B100" s="343" t="s">
        <v>479</v>
      </c>
      <c r="C100" s="343" t="s">
        <v>481</v>
      </c>
      <c r="D100" s="343" t="s">
        <v>293</v>
      </c>
      <c r="E100" s="343" t="str">
        <f>VLOOKUP(D100,[6]USE!A:D,2,0)</f>
        <v>000175</v>
      </c>
      <c r="F100" s="343" t="str">
        <f>VLOOKUP(D100,[6]USE!A:E,3,0)</f>
        <v>PCS</v>
      </c>
      <c r="G100" s="343" t="str">
        <f>VLOOKUP(D100,[6]USE!A:D,4,0)</f>
        <v>C62</v>
      </c>
      <c r="H100" s="343"/>
      <c r="K100" s="337" t="s">
        <v>291</v>
      </c>
      <c r="L100" s="364" t="str">
        <f t="shared" si="16"/>
        <v>CROSS SLIDE</v>
      </c>
      <c r="M100" s="337" t="str">
        <f t="shared" si="17"/>
        <v>C62</v>
      </c>
      <c r="N100" s="337" t="str">
        <f t="shared" si="18"/>
        <v>000002</v>
      </c>
      <c r="O100" s="360">
        <f t="shared" si="19"/>
        <v>98</v>
      </c>
    </row>
    <row r="101" spans="2:15" ht="30.75" customHeight="1">
      <c r="B101" s="347" t="s">
        <v>482</v>
      </c>
      <c r="C101" s="343" t="s">
        <v>315</v>
      </c>
      <c r="D101" s="343" t="str">
        <f>VLOOKUP(B101,[7]IV!$B$21:$C$80,2,0)</f>
        <v>Z2 SLIDE</v>
      </c>
      <c r="E101" s="343" t="str">
        <f>VLOOKUP(D101,[6]USE!A:D,2,0)</f>
        <v>000175</v>
      </c>
      <c r="F101" s="343" t="str">
        <f>VLOOKUP(D101,[6]USE!A:E,3,0)</f>
        <v>PCS</v>
      </c>
      <c r="G101" s="343" t="str">
        <f>VLOOKUP(D101,[6]USE!A:D,4,0)</f>
        <v>C62</v>
      </c>
      <c r="H101" s="343"/>
      <c r="K101" s="337" t="s">
        <v>294</v>
      </c>
      <c r="L101" s="364" t="str">
        <f t="shared" si="16"/>
        <v>HEAD STOCK</v>
      </c>
      <c r="M101" s="337" t="str">
        <f t="shared" si="17"/>
        <v>C62</v>
      </c>
      <c r="N101" s="337" t="str">
        <f t="shared" si="18"/>
        <v>000206</v>
      </c>
      <c r="O101" s="360">
        <f t="shared" si="19"/>
        <v>99</v>
      </c>
    </row>
    <row r="102" spans="2:15" ht="30.75" customHeight="1">
      <c r="B102" s="347" t="s">
        <v>483</v>
      </c>
      <c r="C102" s="343" t="s">
        <v>484</v>
      </c>
      <c r="D102" s="343" t="s">
        <v>293</v>
      </c>
      <c r="E102" s="343" t="str">
        <f>VLOOKUP(D102,[6]USE!A:D,2,0)</f>
        <v>000175</v>
      </c>
      <c r="F102" s="343" t="str">
        <f>VLOOKUP(D102,[6]USE!A:E,3,0)</f>
        <v>PCS</v>
      </c>
      <c r="G102" s="343" t="str">
        <f>VLOOKUP(D102,[6]USE!A:D,4,0)</f>
        <v>C62</v>
      </c>
      <c r="H102" s="343"/>
      <c r="K102" s="337" t="s">
        <v>319</v>
      </c>
      <c r="L102" s="364" t="str">
        <f t="shared" si="16"/>
        <v>HEAD STOCK</v>
      </c>
      <c r="M102" s="337" t="str">
        <f t="shared" si="17"/>
        <v>C62</v>
      </c>
      <c r="N102" s="337" t="str">
        <f t="shared" si="18"/>
        <v>000206</v>
      </c>
      <c r="O102" s="360">
        <f t="shared" si="19"/>
        <v>100</v>
      </c>
    </row>
    <row r="103" spans="2:15" ht="30.75" customHeight="1">
      <c r="B103" s="347" t="s">
        <v>485</v>
      </c>
      <c r="C103" s="343" t="s">
        <v>484</v>
      </c>
      <c r="D103" s="343" t="s">
        <v>293</v>
      </c>
      <c r="E103" s="343" t="str">
        <f>VLOOKUP(D103,[6]USE!A:D,2,0)</f>
        <v>000175</v>
      </c>
      <c r="F103" s="343" t="str">
        <f>VLOOKUP(D103,[6]USE!A:E,3,0)</f>
        <v>PCS</v>
      </c>
      <c r="G103" s="343" t="str">
        <f>VLOOKUP(D103,[6]USE!A:D,4,0)</f>
        <v>C62</v>
      </c>
      <c r="H103" s="343"/>
      <c r="K103" s="337" t="s">
        <v>284</v>
      </c>
      <c r="L103" s="361" t="str">
        <f t="shared" ref="L103:L124" si="20">VLOOKUP(K103,C:F,2,0)</f>
        <v>BED</v>
      </c>
      <c r="M103" s="337" t="str">
        <f t="shared" ref="M103:M124" si="21">VLOOKUP(L103,D:G,4,0)</f>
        <v>C62</v>
      </c>
      <c r="N103" s="337" t="str">
        <f t="shared" ref="N103:N124" si="22">VLOOKUP(L103,D:H,2,0)</f>
        <v>000173</v>
      </c>
      <c r="O103" s="360">
        <f t="shared" ref="O103:O124" si="23">ROW(O101)</f>
        <v>101</v>
      </c>
    </row>
    <row r="104" spans="2:15" ht="30.75" customHeight="1">
      <c r="B104" s="343" t="s">
        <v>486</v>
      </c>
      <c r="C104" s="343" t="s">
        <v>304</v>
      </c>
      <c r="D104" s="343" t="s">
        <v>293</v>
      </c>
      <c r="E104" s="343" t="str">
        <f>VLOOKUP(D104,[6]USE!A:D,2,0)</f>
        <v>000175</v>
      </c>
      <c r="F104" s="343" t="str">
        <f>VLOOKUP(D104,[6]USE!A:E,3,0)</f>
        <v>PCS</v>
      </c>
      <c r="G104" s="343" t="str">
        <f>VLOOKUP(D104,[6]USE!A:D,4,0)</f>
        <v>C62</v>
      </c>
      <c r="H104" s="343"/>
      <c r="K104" s="337" t="s">
        <v>284</v>
      </c>
      <c r="L104" s="361" t="str">
        <f t="shared" si="20"/>
        <v>BED</v>
      </c>
      <c r="M104" s="337" t="str">
        <f t="shared" si="21"/>
        <v>C62</v>
      </c>
      <c r="N104" s="337" t="str">
        <f t="shared" si="22"/>
        <v>000173</v>
      </c>
      <c r="O104" s="360">
        <f t="shared" si="23"/>
        <v>102</v>
      </c>
    </row>
    <row r="105" spans="2:15" ht="30.75" customHeight="1">
      <c r="B105" s="355" t="s">
        <v>425</v>
      </c>
      <c r="C105" s="355" t="s">
        <v>487</v>
      </c>
      <c r="D105" s="355" t="s">
        <v>426</v>
      </c>
      <c r="E105" s="355" t="str">
        <f>VLOOKUP(D105,[6]USE!A:D,2,0)</f>
        <v>000001</v>
      </c>
      <c r="F105" s="355" t="str">
        <f>VLOOKUP(D105,[6]USE!A:E,3,0)</f>
        <v>PCS</v>
      </c>
      <c r="G105" s="355" t="str">
        <f>VLOOKUP(D105,[6]USE!A:D,4,0)</f>
        <v>C62</v>
      </c>
      <c r="H105" s="356" t="s">
        <v>488</v>
      </c>
      <c r="K105" s="337" t="s">
        <v>291</v>
      </c>
      <c r="L105" s="361" t="str">
        <f t="shared" si="20"/>
        <v>CROSS SLIDE</v>
      </c>
      <c r="M105" s="337" t="str">
        <f t="shared" si="21"/>
        <v>C62</v>
      </c>
      <c r="N105" s="337" t="str">
        <f t="shared" si="22"/>
        <v>000002</v>
      </c>
      <c r="O105" s="360">
        <f t="shared" si="23"/>
        <v>103</v>
      </c>
    </row>
    <row r="106" spans="2:15" ht="30.75" customHeight="1">
      <c r="B106" s="343" t="s">
        <v>354</v>
      </c>
      <c r="C106" s="343" t="s">
        <v>353</v>
      </c>
      <c r="D106" s="343" t="s">
        <v>353</v>
      </c>
      <c r="E106" s="343" t="str">
        <f>VLOOKUP(D106,[6]USE!A:D,2,0)</f>
        <v>000173</v>
      </c>
      <c r="F106" s="343" t="str">
        <f>VLOOKUP(D106,[6]USE!A:E,3,0)</f>
        <v>PCS</v>
      </c>
      <c r="G106" s="343" t="str">
        <f>VLOOKUP(D106,[6]USE!A:D,4,0)</f>
        <v>C62</v>
      </c>
      <c r="H106" s="343"/>
      <c r="K106" s="337" t="s">
        <v>293</v>
      </c>
      <c r="L106" s="361" t="str">
        <f t="shared" si="20"/>
        <v>Z2 SLIDE</v>
      </c>
      <c r="M106" s="337" t="str">
        <f t="shared" si="21"/>
        <v>C62</v>
      </c>
      <c r="N106" s="337" t="str">
        <f t="shared" si="22"/>
        <v>000175</v>
      </c>
      <c r="O106" s="360">
        <f t="shared" si="23"/>
        <v>104</v>
      </c>
    </row>
    <row r="107" spans="2:15" ht="30.75" customHeight="1">
      <c r="B107" s="343" t="s">
        <v>355</v>
      </c>
      <c r="C107" s="343" t="s">
        <v>353</v>
      </c>
      <c r="D107" s="343" t="s">
        <v>353</v>
      </c>
      <c r="E107" s="343" t="str">
        <f>VLOOKUP(D107,[6]USE!A:D,2,0)</f>
        <v>000173</v>
      </c>
      <c r="F107" s="343" t="str">
        <f>VLOOKUP(D107,[6]USE!A:E,3,0)</f>
        <v>PCS</v>
      </c>
      <c r="G107" s="343" t="str">
        <f>VLOOKUP(D107,[6]USE!A:D,4,0)</f>
        <v>C62</v>
      </c>
      <c r="H107" s="343"/>
      <c r="K107" s="337" t="s">
        <v>294</v>
      </c>
      <c r="L107" s="361" t="str">
        <f t="shared" si="20"/>
        <v>HEAD STOCK</v>
      </c>
      <c r="M107" s="337" t="str">
        <f t="shared" si="21"/>
        <v>C62</v>
      </c>
      <c r="N107" s="337" t="str">
        <f t="shared" si="22"/>
        <v>000206</v>
      </c>
      <c r="O107" s="360">
        <f t="shared" si="23"/>
        <v>105</v>
      </c>
    </row>
    <row r="108" spans="2:15" ht="30.75" customHeight="1">
      <c r="B108" s="343" t="s">
        <v>369</v>
      </c>
      <c r="C108" s="343" t="s">
        <v>361</v>
      </c>
      <c r="D108" s="343" t="s">
        <v>361</v>
      </c>
      <c r="E108" s="343" t="str">
        <f>VLOOKUP(D108,[6]USE!A:D,2,0)</f>
        <v>000006</v>
      </c>
      <c r="F108" s="343" t="str">
        <f>VLOOKUP(D108,[6]USE!A:E,3,0)</f>
        <v>PCS</v>
      </c>
      <c r="G108" s="343" t="str">
        <f>VLOOKUP(D108,[6]USE!A:D,4,0)</f>
        <v>C62</v>
      </c>
      <c r="H108" s="343"/>
      <c r="K108" s="337" t="s">
        <v>295</v>
      </c>
      <c r="L108" s="361" t="str">
        <f t="shared" si="20"/>
        <v>TOOL POST</v>
      </c>
      <c r="M108" s="337" t="str">
        <f t="shared" si="21"/>
        <v>C62</v>
      </c>
      <c r="N108" s="337" t="str">
        <f t="shared" si="22"/>
        <v>000174</v>
      </c>
      <c r="O108" s="360">
        <f t="shared" si="23"/>
        <v>106</v>
      </c>
    </row>
    <row r="109" spans="2:15" ht="30.75" customHeight="1">
      <c r="B109" s="343" t="s">
        <v>366</v>
      </c>
      <c r="C109" s="343" t="s">
        <v>361</v>
      </c>
      <c r="D109" s="343" t="s">
        <v>361</v>
      </c>
      <c r="E109" s="343" t="str">
        <f>VLOOKUP(D109,[6]USE!A:D,2,0)</f>
        <v>000006</v>
      </c>
      <c r="F109" s="343" t="str">
        <f>VLOOKUP(D109,[6]USE!A:E,3,0)</f>
        <v>PCS</v>
      </c>
      <c r="G109" s="343" t="str">
        <f>VLOOKUP(D109,[6]USE!A:D,4,0)</f>
        <v>C62</v>
      </c>
      <c r="H109" s="343"/>
      <c r="K109" s="337" t="s">
        <v>296</v>
      </c>
      <c r="L109" s="361" t="str">
        <f t="shared" si="20"/>
        <v>X-SLIDE</v>
      </c>
      <c r="M109" s="337" t="str">
        <f t="shared" si="21"/>
        <v>C62</v>
      </c>
      <c r="N109" s="337" t="str">
        <f t="shared" si="22"/>
        <v>000004</v>
      </c>
      <c r="O109" s="360">
        <f t="shared" si="23"/>
        <v>107</v>
      </c>
    </row>
    <row r="110" spans="2:15" ht="30.75" customHeight="1">
      <c r="B110" s="343" t="s">
        <v>371</v>
      </c>
      <c r="C110" s="343" t="s">
        <v>374</v>
      </c>
      <c r="D110" s="343" t="s">
        <v>374</v>
      </c>
      <c r="E110" s="343" t="str">
        <f>VLOOKUP(D110,[6]USE!A:D,2,0)</f>
        <v>000084</v>
      </c>
      <c r="F110" s="343" t="str">
        <f>VLOOKUP(D110,[6]USE!A:E,3,0)</f>
        <v>PCS</v>
      </c>
      <c r="G110" s="343" t="str">
        <f>VLOOKUP(D110,[6]USE!A:D,4,0)</f>
        <v>C62</v>
      </c>
      <c r="H110" s="343"/>
      <c r="K110" s="337" t="s">
        <v>291</v>
      </c>
      <c r="L110" s="361" t="str">
        <f t="shared" si="20"/>
        <v>CROSS SLIDE</v>
      </c>
      <c r="M110" s="337" t="str">
        <f t="shared" si="21"/>
        <v>C62</v>
      </c>
      <c r="N110" s="337" t="str">
        <f t="shared" si="22"/>
        <v>000002</v>
      </c>
      <c r="O110" s="360">
        <f t="shared" si="23"/>
        <v>108</v>
      </c>
    </row>
    <row r="111" spans="2:15" ht="30.75" customHeight="1">
      <c r="B111" s="343" t="s">
        <v>385</v>
      </c>
      <c r="C111" s="343" t="s">
        <v>291</v>
      </c>
      <c r="D111" s="343" t="s">
        <v>291</v>
      </c>
      <c r="E111" s="343" t="str">
        <f>VLOOKUP(D111,[6]USE!A:D,2,0)</f>
        <v>000002</v>
      </c>
      <c r="F111" s="343" t="str">
        <f>VLOOKUP(D111,[6]USE!A:E,3,0)</f>
        <v>PCS</v>
      </c>
      <c r="G111" s="343" t="str">
        <f>VLOOKUP(D111,[6]USE!A:D,4,0)</f>
        <v>C62</v>
      </c>
      <c r="H111" s="343"/>
      <c r="K111" s="337" t="s">
        <v>297</v>
      </c>
      <c r="L111" s="361" t="str">
        <f t="shared" si="20"/>
        <v>HEAD STOCK</v>
      </c>
      <c r="M111" s="337" t="str">
        <f t="shared" si="21"/>
        <v>C62</v>
      </c>
      <c r="N111" s="337" t="str">
        <f t="shared" si="22"/>
        <v>000206</v>
      </c>
      <c r="O111" s="360">
        <f t="shared" si="23"/>
        <v>109</v>
      </c>
    </row>
    <row r="112" spans="2:15" ht="30.75" customHeight="1">
      <c r="B112" s="343" t="s">
        <v>450</v>
      </c>
      <c r="C112" s="343" t="s">
        <v>295</v>
      </c>
      <c r="D112" s="343" t="s">
        <v>295</v>
      </c>
      <c r="E112" s="343" t="str">
        <f>VLOOKUP(D112,[6]USE!A:D,2,0)</f>
        <v>000174</v>
      </c>
      <c r="F112" s="343" t="str">
        <f>VLOOKUP(D112,[6]USE!A:E,3,0)</f>
        <v>PCS</v>
      </c>
      <c r="G112" s="343" t="str">
        <f>VLOOKUP(D112,[6]USE!A:D,4,0)</f>
        <v>C62</v>
      </c>
      <c r="H112" s="343"/>
      <c r="K112" s="337" t="s">
        <v>295</v>
      </c>
      <c r="L112" s="361" t="str">
        <f t="shared" si="20"/>
        <v>TOOL POST</v>
      </c>
      <c r="M112" s="337" t="str">
        <f t="shared" si="21"/>
        <v>C62</v>
      </c>
      <c r="N112" s="337" t="str">
        <f t="shared" si="22"/>
        <v>000174</v>
      </c>
      <c r="O112" s="360">
        <f t="shared" si="23"/>
        <v>110</v>
      </c>
    </row>
    <row r="113" spans="2:15" ht="30.75" customHeight="1">
      <c r="B113" s="343" t="s">
        <v>360</v>
      </c>
      <c r="C113" s="343" t="s">
        <v>361</v>
      </c>
      <c r="D113" s="343" t="s">
        <v>361</v>
      </c>
      <c r="E113" s="343" t="str">
        <f>VLOOKUP(D113,[6]USE!A:D,2,0)</f>
        <v>000006</v>
      </c>
      <c r="F113" s="343" t="str">
        <f>VLOOKUP(D113,[6]USE!A:E,3,0)</f>
        <v>PCS</v>
      </c>
      <c r="G113" s="343" t="str">
        <f>VLOOKUP(D113,[6]USE!A:D,4,0)</f>
        <v>C62</v>
      </c>
      <c r="H113" s="343"/>
      <c r="K113" s="337" t="s">
        <v>303</v>
      </c>
      <c r="L113" s="361" t="str">
        <f t="shared" si="20"/>
        <v>X-SLIDE</v>
      </c>
      <c r="M113" s="337" t="str">
        <f t="shared" si="21"/>
        <v>C62</v>
      </c>
      <c r="N113" s="337" t="str">
        <f t="shared" si="22"/>
        <v>000004</v>
      </c>
      <c r="O113" s="360">
        <f t="shared" si="23"/>
        <v>111</v>
      </c>
    </row>
    <row r="114" spans="2:15" ht="30.75" customHeight="1">
      <c r="B114" s="343" t="s">
        <v>459</v>
      </c>
      <c r="C114" s="343" t="s">
        <v>296</v>
      </c>
      <c r="D114" s="343" t="s">
        <v>455</v>
      </c>
      <c r="E114" s="343" t="str">
        <f>VLOOKUP(D114,[6]USE!A:D,2,0)</f>
        <v>000004</v>
      </c>
      <c r="F114" s="343" t="str">
        <f>VLOOKUP(D114,[6]USE!A:E,3,0)</f>
        <v>PCS</v>
      </c>
      <c r="G114" s="343" t="str">
        <f>VLOOKUP(D114,[6]USE!A:D,4,0)</f>
        <v>C62</v>
      </c>
      <c r="H114" s="343"/>
      <c r="K114" s="337" t="s">
        <v>304</v>
      </c>
      <c r="L114" s="361" t="str">
        <f t="shared" si="20"/>
        <v>Z2 SLIDE</v>
      </c>
      <c r="M114" s="337" t="str">
        <f t="shared" si="21"/>
        <v>C62</v>
      </c>
      <c r="N114" s="337" t="str">
        <f t="shared" si="22"/>
        <v>000175</v>
      </c>
      <c r="O114" s="360">
        <f t="shared" si="23"/>
        <v>112</v>
      </c>
    </row>
    <row r="115" spans="2:15" ht="30.75" customHeight="1">
      <c r="B115" s="343" t="s">
        <v>381</v>
      </c>
      <c r="C115" s="343" t="s">
        <v>291</v>
      </c>
      <c r="D115" s="343" t="s">
        <v>291</v>
      </c>
      <c r="E115" s="343" t="str">
        <f>VLOOKUP(D115,[6]USE!A:D,2,0)</f>
        <v>000002</v>
      </c>
      <c r="F115" s="343" t="str">
        <f>VLOOKUP(D115,[6]USE!A:E,3,0)</f>
        <v>PCS</v>
      </c>
      <c r="G115" s="343" t="str">
        <f>VLOOKUP(D115,[6]USE!A:D,4,0)</f>
        <v>C62</v>
      </c>
      <c r="H115" s="343"/>
      <c r="K115" s="337" t="s">
        <v>306</v>
      </c>
      <c r="L115" s="361" t="str">
        <f t="shared" si="20"/>
        <v>Y-SLIDE</v>
      </c>
      <c r="M115" s="337" t="str">
        <f t="shared" si="21"/>
        <v>C62</v>
      </c>
      <c r="N115" s="337" t="str">
        <f t="shared" si="22"/>
        <v>000186</v>
      </c>
      <c r="O115" s="360">
        <f t="shared" si="23"/>
        <v>113</v>
      </c>
    </row>
    <row r="116" spans="2:15" ht="30.75" customHeight="1">
      <c r="B116" s="343" t="s">
        <v>471</v>
      </c>
      <c r="C116" s="343" t="s">
        <v>294</v>
      </c>
      <c r="D116" s="343" t="s">
        <v>294</v>
      </c>
      <c r="E116" s="343" t="str">
        <f>VLOOKUP(D116,[6]USE!A:D,2,0)</f>
        <v>000206</v>
      </c>
      <c r="F116" s="343" t="str">
        <f>VLOOKUP(D116,[6]USE!A:E,3,0)</f>
        <v>PCS</v>
      </c>
      <c r="G116" s="343" t="str">
        <f>VLOOKUP(D116,[6]USE!A:D,4,0)</f>
        <v>C62</v>
      </c>
      <c r="H116" s="343"/>
      <c r="K116" s="337" t="s">
        <v>307</v>
      </c>
      <c r="L116" s="361" t="str">
        <f t="shared" si="20"/>
        <v>HEAD STOCK</v>
      </c>
      <c r="M116" s="337" t="str">
        <f t="shared" si="21"/>
        <v>C62</v>
      </c>
      <c r="N116" s="337" t="str">
        <f t="shared" si="22"/>
        <v>000206</v>
      </c>
      <c r="O116" s="360">
        <f t="shared" si="23"/>
        <v>114</v>
      </c>
    </row>
    <row r="117" spans="2:15" ht="30.75" customHeight="1">
      <c r="B117" s="343" t="s">
        <v>489</v>
      </c>
      <c r="C117" s="343" t="s">
        <v>294</v>
      </c>
      <c r="D117" s="343" t="s">
        <v>294</v>
      </c>
      <c r="E117" s="343" t="str">
        <f>VLOOKUP(D117,[6]USE!A:D,2,0)</f>
        <v>000206</v>
      </c>
      <c r="F117" s="343" t="str">
        <f>VLOOKUP(D117,[6]USE!A:E,3,0)</f>
        <v>PCS</v>
      </c>
      <c r="G117" s="343" t="str">
        <f>VLOOKUP(D117,[6]USE!A:D,4,0)</f>
        <v>C62</v>
      </c>
      <c r="H117" s="343"/>
      <c r="K117" s="337" t="s">
        <v>308</v>
      </c>
      <c r="L117" s="361" t="str">
        <f t="shared" si="20"/>
        <v>MOTOR HOUSING</v>
      </c>
      <c r="M117" s="337" t="str">
        <f t="shared" si="21"/>
        <v>C62</v>
      </c>
      <c r="N117" s="337" t="str">
        <f t="shared" si="22"/>
        <v>000187</v>
      </c>
      <c r="O117" s="360">
        <f t="shared" si="23"/>
        <v>115</v>
      </c>
    </row>
    <row r="118" spans="2:15" ht="30.75" customHeight="1">
      <c r="B118" s="343" t="s">
        <v>489</v>
      </c>
      <c r="C118" s="343" t="s">
        <v>294</v>
      </c>
      <c r="D118" s="343" t="s">
        <v>294</v>
      </c>
      <c r="E118" s="343" t="str">
        <f>VLOOKUP(D118,[6]USE!A:D,2,0)</f>
        <v>000206</v>
      </c>
      <c r="F118" s="343" t="str">
        <f>VLOOKUP(D118,[6]USE!A:E,3,0)</f>
        <v>PCS</v>
      </c>
      <c r="G118" s="343" t="str">
        <f>VLOOKUP(D118,[6]USE!A:D,4,0)</f>
        <v>C62</v>
      </c>
      <c r="H118" s="343"/>
      <c r="K118" s="337" t="s">
        <v>294</v>
      </c>
      <c r="L118" s="361" t="str">
        <f t="shared" si="20"/>
        <v>HEAD STOCK</v>
      </c>
      <c r="M118" s="337" t="str">
        <f t="shared" si="21"/>
        <v>C62</v>
      </c>
      <c r="N118" s="337" t="str">
        <f t="shared" si="22"/>
        <v>000206</v>
      </c>
      <c r="O118" s="360">
        <f t="shared" si="23"/>
        <v>116</v>
      </c>
    </row>
    <row r="119" spans="2:15" ht="30.75" customHeight="1">
      <c r="B119" s="343" t="s">
        <v>490</v>
      </c>
      <c r="C119" s="343" t="s">
        <v>295</v>
      </c>
      <c r="D119" s="343" t="s">
        <v>295</v>
      </c>
      <c r="E119" s="343" t="str">
        <f>VLOOKUP(D119,[6]USE!A:D,2,0)</f>
        <v>000174</v>
      </c>
      <c r="F119" s="343" t="str">
        <f>VLOOKUP(D119,[6]USE!A:E,3,0)</f>
        <v>PCS</v>
      </c>
      <c r="G119" s="343" t="str">
        <f>VLOOKUP(D119,[6]USE!A:D,4,0)</f>
        <v>C62</v>
      </c>
      <c r="H119" s="343"/>
      <c r="K119" s="337" t="s">
        <v>297</v>
      </c>
      <c r="L119" s="361" t="str">
        <f t="shared" si="20"/>
        <v>HEAD STOCK</v>
      </c>
      <c r="M119" s="337" t="str">
        <f t="shared" si="21"/>
        <v>C62</v>
      </c>
      <c r="N119" s="337" t="str">
        <f t="shared" si="22"/>
        <v>000206</v>
      </c>
      <c r="O119" s="360">
        <f t="shared" si="23"/>
        <v>117</v>
      </c>
    </row>
    <row r="120" spans="2:15" ht="30.75" customHeight="1">
      <c r="B120" s="343" t="s">
        <v>454</v>
      </c>
      <c r="C120" s="343" t="s">
        <v>296</v>
      </c>
      <c r="D120" s="343" t="s">
        <v>455</v>
      </c>
      <c r="E120" s="343" t="str">
        <f>VLOOKUP(D120,[6]USE!A:D,2,0)</f>
        <v>000004</v>
      </c>
      <c r="F120" s="343" t="str">
        <f>VLOOKUP(D120,[6]USE!A:E,3,0)</f>
        <v>PCS</v>
      </c>
      <c r="G120" s="343" t="str">
        <f>VLOOKUP(D120,[6]USE!A:D,4,0)</f>
        <v>C62</v>
      </c>
      <c r="H120" s="343"/>
      <c r="K120" s="337" t="s">
        <v>294</v>
      </c>
      <c r="L120" s="361" t="str">
        <f t="shared" si="20"/>
        <v>HEAD STOCK</v>
      </c>
      <c r="M120" s="337" t="str">
        <f t="shared" si="21"/>
        <v>C62</v>
      </c>
      <c r="N120" s="337" t="str">
        <f t="shared" si="22"/>
        <v>000206</v>
      </c>
      <c r="O120" s="360">
        <f t="shared" si="23"/>
        <v>118</v>
      </c>
    </row>
    <row r="121" spans="2:15" ht="30.75" customHeight="1">
      <c r="B121" s="343" t="s">
        <v>454</v>
      </c>
      <c r="C121" s="343" t="s">
        <v>296</v>
      </c>
      <c r="D121" s="343" t="s">
        <v>455</v>
      </c>
      <c r="E121" s="343" t="str">
        <f>VLOOKUP(D121,[6]USE!A:D,2,0)</f>
        <v>000004</v>
      </c>
      <c r="F121" s="343" t="str">
        <f>VLOOKUP(D121,[6]USE!A:E,3,0)</f>
        <v>PCS</v>
      </c>
      <c r="G121" s="343" t="str">
        <f>VLOOKUP(D121,[6]USE!A:D,4,0)</f>
        <v>C62</v>
      </c>
      <c r="H121" s="343"/>
      <c r="K121" s="337" t="s">
        <v>322</v>
      </c>
      <c r="L121" s="361" t="str">
        <f t="shared" si="20"/>
        <v>X-SLIDE</v>
      </c>
      <c r="M121" s="337" t="str">
        <f t="shared" si="21"/>
        <v>C62</v>
      </c>
      <c r="N121" s="337" t="str">
        <f t="shared" si="22"/>
        <v>000004</v>
      </c>
      <c r="O121" s="360">
        <f t="shared" si="23"/>
        <v>119</v>
      </c>
    </row>
    <row r="122" spans="2:15" ht="30.75" customHeight="1">
      <c r="B122" s="343" t="s">
        <v>491</v>
      </c>
      <c r="C122" s="343" t="s">
        <v>291</v>
      </c>
      <c r="D122" s="343" t="s">
        <v>291</v>
      </c>
      <c r="E122" s="343" t="str">
        <f>VLOOKUP(D122,[6]USE!A:D,2,0)</f>
        <v>000002</v>
      </c>
      <c r="F122" s="343" t="str">
        <f>VLOOKUP(D122,[6]USE!A:E,3,0)</f>
        <v>PCS</v>
      </c>
      <c r="G122" s="343" t="str">
        <f>VLOOKUP(D122,[6]USE!A:D,4,0)</f>
        <v>C62</v>
      </c>
      <c r="H122" s="343"/>
      <c r="K122" s="337" t="s">
        <v>291</v>
      </c>
      <c r="L122" s="361" t="str">
        <f t="shared" si="20"/>
        <v>CROSS SLIDE</v>
      </c>
      <c r="M122" s="337" t="str">
        <f t="shared" si="21"/>
        <v>C62</v>
      </c>
      <c r="N122" s="337" t="str">
        <f t="shared" si="22"/>
        <v>000002</v>
      </c>
      <c r="O122" s="360">
        <f t="shared" si="23"/>
        <v>120</v>
      </c>
    </row>
    <row r="123" spans="2:15" ht="30.75" customHeight="1">
      <c r="B123" s="343" t="s">
        <v>491</v>
      </c>
      <c r="C123" s="343" t="s">
        <v>291</v>
      </c>
      <c r="D123" s="343" t="s">
        <v>291</v>
      </c>
      <c r="E123" s="343" t="str">
        <f>VLOOKUP(D123,[6]USE!A:D,2,0)</f>
        <v>000002</v>
      </c>
      <c r="F123" s="343" t="str">
        <f>VLOOKUP(D123,[6]USE!A:E,3,0)</f>
        <v>PCS</v>
      </c>
      <c r="G123" s="343" t="str">
        <f>VLOOKUP(D123,[6]USE!A:D,4,0)</f>
        <v>C62</v>
      </c>
      <c r="H123" s="343"/>
      <c r="K123" s="337" t="s">
        <v>293</v>
      </c>
      <c r="L123" s="361" t="str">
        <f t="shared" si="20"/>
        <v>Z2 SLIDE</v>
      </c>
      <c r="M123" s="337" t="str">
        <f t="shared" si="21"/>
        <v>C62</v>
      </c>
      <c r="N123" s="337" t="str">
        <f t="shared" si="22"/>
        <v>000175</v>
      </c>
      <c r="O123" s="360">
        <f t="shared" si="23"/>
        <v>121</v>
      </c>
    </row>
    <row r="124" spans="2:15" ht="30.75" customHeight="1">
      <c r="B124" s="343" t="s">
        <v>341</v>
      </c>
      <c r="C124" s="343" t="s">
        <v>297</v>
      </c>
      <c r="D124" s="343" t="s">
        <v>294</v>
      </c>
      <c r="E124" s="343" t="str">
        <f>VLOOKUP(D124,[6]USE!A:D,2,0)</f>
        <v>000206</v>
      </c>
      <c r="F124" s="343" t="str">
        <f>VLOOKUP(D124,[6]USE!A:E,3,0)</f>
        <v>PCS</v>
      </c>
      <c r="G124" s="343" t="str">
        <f>VLOOKUP(D124,[6]USE!A:D,4,0)</f>
        <v>C62</v>
      </c>
      <c r="H124" s="343"/>
      <c r="K124" s="337" t="s">
        <v>323</v>
      </c>
      <c r="L124" s="361" t="str">
        <f t="shared" si="20"/>
        <v>Y-SLIDE</v>
      </c>
      <c r="M124" s="337" t="str">
        <f t="shared" si="21"/>
        <v>C62</v>
      </c>
      <c r="N124" s="337" t="str">
        <f t="shared" si="22"/>
        <v>000186</v>
      </c>
      <c r="O124" s="360">
        <f t="shared" si="23"/>
        <v>122</v>
      </c>
    </row>
    <row r="125" spans="2:15" ht="30.75" customHeight="1">
      <c r="B125" s="343" t="s">
        <v>403</v>
      </c>
      <c r="C125" s="343" t="s">
        <v>300</v>
      </c>
      <c r="D125" s="343" t="s">
        <v>361</v>
      </c>
      <c r="E125" s="343" t="str">
        <f>VLOOKUP(D125,[6]USE!A:D,2,0)</f>
        <v>000006</v>
      </c>
      <c r="F125" s="343" t="str">
        <f>VLOOKUP(D125,[6]USE!A:E,3,0)</f>
        <v>PCS</v>
      </c>
      <c r="G125" s="343" t="str">
        <f>VLOOKUP(D125,[6]USE!A:D,4,0)</f>
        <v>C62</v>
      </c>
      <c r="H125" s="343"/>
    </row>
    <row r="126" spans="2:15" ht="30.75" customHeight="1">
      <c r="B126" s="343" t="s">
        <v>403</v>
      </c>
      <c r="C126" s="343" t="s">
        <v>300</v>
      </c>
      <c r="D126" s="343" t="s">
        <v>361</v>
      </c>
      <c r="E126" s="343" t="str">
        <f>VLOOKUP(D126,[6]USE!A:D,2,0)</f>
        <v>000006</v>
      </c>
      <c r="F126" s="343" t="str">
        <f>VLOOKUP(D126,[6]USE!A:E,3,0)</f>
        <v>PCS</v>
      </c>
      <c r="G126" s="343" t="str">
        <f>VLOOKUP(D126,[6]USE!A:D,4,0)</f>
        <v>C62</v>
      </c>
      <c r="H126" s="343"/>
    </row>
    <row r="127" spans="2:15" ht="30.75" customHeight="1">
      <c r="B127" s="343" t="s">
        <v>405</v>
      </c>
      <c r="C127" s="343" t="s">
        <v>300</v>
      </c>
      <c r="D127" s="343" t="s">
        <v>361</v>
      </c>
      <c r="E127" s="343" t="str">
        <f>VLOOKUP(D127,[6]USE!A:D,2,0)</f>
        <v>000006</v>
      </c>
      <c r="F127" s="343" t="str">
        <f>VLOOKUP(D127,[6]USE!A:E,3,0)</f>
        <v>PCS</v>
      </c>
      <c r="G127" s="343" t="str">
        <f>VLOOKUP(D127,[6]USE!A:D,4,0)</f>
        <v>C62</v>
      </c>
      <c r="H127" s="343"/>
    </row>
    <row r="128" spans="2:15" ht="30.75" customHeight="1">
      <c r="B128" s="343" t="s">
        <v>462</v>
      </c>
      <c r="C128" s="343" t="s">
        <v>322</v>
      </c>
      <c r="D128" s="343" t="s">
        <v>455</v>
      </c>
      <c r="E128" s="343" t="str">
        <f>VLOOKUP(D128,[6]USE!A:D,2,0)</f>
        <v>000004</v>
      </c>
      <c r="F128" s="343" t="str">
        <f>VLOOKUP(D128,[6]USE!A:E,3,0)</f>
        <v>PCS</v>
      </c>
      <c r="G128" s="343" t="str">
        <f>VLOOKUP(D128,[6]USE!A:D,4,0)</f>
        <v>C62</v>
      </c>
      <c r="H128" s="343"/>
    </row>
    <row r="129" spans="2:8" ht="30.75" customHeight="1">
      <c r="B129" s="343" t="s">
        <v>419</v>
      </c>
      <c r="C129" s="343" t="s">
        <v>308</v>
      </c>
      <c r="D129" s="343" t="s">
        <v>308</v>
      </c>
      <c r="E129" s="343" t="str">
        <f>VLOOKUP(D129,[6]USE!A:D,2,0)</f>
        <v>000187</v>
      </c>
      <c r="F129" s="343" t="str">
        <f>VLOOKUP(D129,[6]USE!A:E,3,0)</f>
        <v>PCS</v>
      </c>
      <c r="G129" s="343" t="str">
        <f>VLOOKUP(D129,[6]USE!A:D,4,0)</f>
        <v>C62</v>
      </c>
      <c r="H129" s="343"/>
    </row>
    <row r="130" spans="2:8" ht="30.75" customHeight="1">
      <c r="B130" s="343" t="s">
        <v>419</v>
      </c>
      <c r="C130" s="343" t="s">
        <v>308</v>
      </c>
      <c r="D130" s="343" t="s">
        <v>308</v>
      </c>
      <c r="E130" s="343" t="str">
        <f>VLOOKUP(D130,[6]USE!A:D,2,0)</f>
        <v>000187</v>
      </c>
      <c r="F130" s="343" t="str">
        <f>VLOOKUP(D130,[6]USE!A:E,3,0)</f>
        <v>PCS</v>
      </c>
      <c r="G130" s="343" t="str">
        <f>VLOOKUP(D130,[6]USE!A:D,4,0)</f>
        <v>C62</v>
      </c>
      <c r="H130" s="343"/>
    </row>
    <row r="131" spans="2:8" ht="30.75" customHeight="1">
      <c r="B131" s="343" t="s">
        <v>394</v>
      </c>
      <c r="C131" s="343" t="s">
        <v>291</v>
      </c>
      <c r="D131" s="343" t="s">
        <v>291</v>
      </c>
      <c r="E131" s="343" t="str">
        <f>VLOOKUP(D131,[6]USE!A:D,2,0)</f>
        <v>000002</v>
      </c>
      <c r="F131" s="343" t="str">
        <f>VLOOKUP(D131,[6]USE!A:E,3,0)</f>
        <v>PCS</v>
      </c>
      <c r="G131" s="343" t="str">
        <f>VLOOKUP(D131,[6]USE!A:D,4,0)</f>
        <v>C62</v>
      </c>
      <c r="H131" s="343"/>
    </row>
    <row r="132" spans="2:8" ht="30.75" customHeight="1">
      <c r="B132" s="343" t="s">
        <v>492</v>
      </c>
      <c r="C132" s="343" t="s">
        <v>317</v>
      </c>
      <c r="D132" s="343" t="s">
        <v>291</v>
      </c>
      <c r="E132" s="343" t="str">
        <f>VLOOKUP(D132,[6]USE!A:D,2,0)</f>
        <v>000002</v>
      </c>
      <c r="F132" s="343" t="str">
        <f>VLOOKUP(D132,[6]USE!A:E,3,0)</f>
        <v>PCS</v>
      </c>
      <c r="G132" s="343" t="str">
        <f>VLOOKUP(D132,[6]USE!A:D,4,0)</f>
        <v>C62</v>
      </c>
      <c r="H132" s="343"/>
    </row>
    <row r="133" spans="2:8" ht="30.75" customHeight="1">
      <c r="B133" s="343" t="s">
        <v>493</v>
      </c>
      <c r="C133" s="343" t="s">
        <v>318</v>
      </c>
      <c r="D133" s="343" t="s">
        <v>467</v>
      </c>
      <c r="E133" s="343" t="str">
        <f>VLOOKUP(D133,[6]USE!A:D,2,0)</f>
        <v>000186</v>
      </c>
      <c r="F133" s="343" t="str">
        <f>VLOOKUP(D133,[6]USE!A:E,3,0)</f>
        <v>PCS</v>
      </c>
      <c r="G133" s="343" t="str">
        <f>VLOOKUP(D133,[6]USE!A:D,4,0)</f>
        <v>C62</v>
      </c>
      <c r="H133" s="343"/>
    </row>
    <row r="134" spans="2:8" ht="30.75" customHeight="1">
      <c r="B134" s="343" t="s">
        <v>494</v>
      </c>
      <c r="C134" s="343" t="s">
        <v>319</v>
      </c>
      <c r="D134" s="343" t="s">
        <v>294</v>
      </c>
      <c r="E134" s="343" t="str">
        <f>VLOOKUP(D134,[6]USE!A:D,2,0)</f>
        <v>000206</v>
      </c>
      <c r="F134" s="343" t="str">
        <f>VLOOKUP(D134,[6]USE!A:E,3,0)</f>
        <v>PCS</v>
      </c>
      <c r="G134" s="343" t="str">
        <f>VLOOKUP(D134,[6]USE!A:D,4,0)</f>
        <v>C62</v>
      </c>
      <c r="H134" s="343"/>
    </row>
    <row r="135" spans="2:8" ht="30.75" customHeight="1">
      <c r="B135" s="343" t="s">
        <v>495</v>
      </c>
      <c r="C135" s="343" t="s">
        <v>496</v>
      </c>
      <c r="D135" s="343" t="s">
        <v>361</v>
      </c>
      <c r="E135" s="343" t="str">
        <f>VLOOKUP(D135,[6]USE!A:D,2,0)</f>
        <v>000006</v>
      </c>
      <c r="F135" s="343" t="str">
        <f>VLOOKUP(D135,[6]USE!A:E,3,0)</f>
        <v>PCS</v>
      </c>
      <c r="G135" s="343" t="str">
        <f>VLOOKUP(D135,[6]USE!A:D,4,0)</f>
        <v>C62</v>
      </c>
      <c r="H135" s="343"/>
    </row>
    <row r="136" spans="2:8" ht="30.75" customHeight="1">
      <c r="B136" s="343" t="s">
        <v>495</v>
      </c>
      <c r="C136" s="343" t="s">
        <v>497</v>
      </c>
      <c r="D136" s="343" t="s">
        <v>361</v>
      </c>
      <c r="E136" s="343" t="str">
        <f>VLOOKUP(D136,[6]USE!A:D,2,0)</f>
        <v>000006</v>
      </c>
      <c r="F136" s="343" t="str">
        <f>VLOOKUP(D136,[6]USE!A:E,3,0)</f>
        <v>PCS</v>
      </c>
      <c r="G136" s="343" t="str">
        <f>VLOOKUP(D136,[6]USE!A:D,4,0)</f>
        <v>C62</v>
      </c>
      <c r="H136" s="343"/>
    </row>
    <row r="137" spans="2:8" ht="30.75" customHeight="1">
      <c r="B137" s="343" t="s">
        <v>498</v>
      </c>
      <c r="C137" s="343" t="s">
        <v>499</v>
      </c>
      <c r="D137" s="343" t="s">
        <v>361</v>
      </c>
      <c r="E137" s="343" t="str">
        <f>VLOOKUP(D137,[6]USE!A:D,2,0)</f>
        <v>000006</v>
      </c>
      <c r="F137" s="343" t="str">
        <f>VLOOKUP(D137,[6]USE!A:E,3,0)</f>
        <v>PCS</v>
      </c>
      <c r="G137" s="343" t="str">
        <f>VLOOKUP(D137,[6]USE!A:D,4,0)</f>
        <v>C62</v>
      </c>
      <c r="H137" s="343" t="s">
        <v>500</v>
      </c>
    </row>
    <row r="138" spans="2:8" ht="30.75" customHeight="1">
      <c r="B138" s="343" t="s">
        <v>501</v>
      </c>
      <c r="C138" s="343" t="s">
        <v>502</v>
      </c>
      <c r="D138" s="343" t="s">
        <v>467</v>
      </c>
      <c r="E138" s="343" t="str">
        <f>VLOOKUP(D138,[6]USE!A:D,2,0)</f>
        <v>000186</v>
      </c>
      <c r="F138" s="343" t="str">
        <f>VLOOKUP(D138,[6]USE!A:E,3,0)</f>
        <v>PCS</v>
      </c>
      <c r="G138" s="343" t="str">
        <f>VLOOKUP(D138,[6]USE!A:D,4,0)</f>
        <v>C62</v>
      </c>
      <c r="H138" s="343" t="s">
        <v>500</v>
      </c>
    </row>
    <row r="139" spans="2:8" ht="30.75" customHeight="1">
      <c r="B139" s="343" t="s">
        <v>503</v>
      </c>
      <c r="C139" s="343" t="s">
        <v>504</v>
      </c>
      <c r="D139" s="343" t="s">
        <v>504</v>
      </c>
      <c r="E139" s="343" t="str">
        <f>VLOOKUP(D139,[6]USE!A:D,2,0)</f>
        <v>000013</v>
      </c>
      <c r="F139" s="343" t="str">
        <f>VLOOKUP(D139,[6]USE!A:E,3,0)</f>
        <v>PCS</v>
      </c>
      <c r="G139" s="343" t="str">
        <f>VLOOKUP(D139,[6]USE!A:D,4,0)</f>
        <v>C62</v>
      </c>
      <c r="H139" s="343" t="s">
        <v>505</v>
      </c>
    </row>
    <row r="140" spans="2:8" ht="30.75" customHeight="1">
      <c r="B140" s="343" t="s">
        <v>506</v>
      </c>
      <c r="C140" s="343" t="s">
        <v>507</v>
      </c>
      <c r="D140" s="343" t="s">
        <v>361</v>
      </c>
      <c r="E140" s="343" t="str">
        <f>VLOOKUP(D140,[6]USE!A:D,2,0)</f>
        <v>000006</v>
      </c>
      <c r="F140" s="343" t="str">
        <f>VLOOKUP(D140,[6]USE!A:E,3,0)</f>
        <v>PCS</v>
      </c>
      <c r="G140" s="343" t="str">
        <f>VLOOKUP(D140,[6]USE!A:D,4,0)</f>
        <v>C62</v>
      </c>
      <c r="H140" s="343" t="s">
        <v>508</v>
      </c>
    </row>
    <row r="141" spans="2:8" ht="30.75" customHeight="1">
      <c r="B141" s="345" t="s">
        <v>261</v>
      </c>
      <c r="C141" s="345" t="s">
        <v>289</v>
      </c>
      <c r="D141" s="345" t="s">
        <v>353</v>
      </c>
      <c r="E141" s="345" t="str">
        <f>VLOOKUP(D141,[6]USE!A:D,2,0)</f>
        <v>000173</v>
      </c>
      <c r="F141" s="345" t="str">
        <f>VLOOKUP(D141,[6]USE!A:E,3,0)</f>
        <v>PCS</v>
      </c>
      <c r="G141" s="345" t="str">
        <f>VLOOKUP(D141,[6]USE!A:D,4,0)</f>
        <v>C62</v>
      </c>
      <c r="H141" s="345" t="s">
        <v>509</v>
      </c>
    </row>
    <row r="142" spans="2:8" ht="30.75" customHeight="1">
      <c r="B142" s="357" t="s">
        <v>510</v>
      </c>
      <c r="C142" s="357" t="s">
        <v>511</v>
      </c>
      <c r="D142" s="357" t="s">
        <v>511</v>
      </c>
      <c r="E142" s="357" t="str">
        <f>VLOOKUP(D142,[6]USE!A:D,2,0)</f>
        <v>000135</v>
      </c>
      <c r="F142" s="357" t="str">
        <f>VLOOKUP(D142,[6]USE!A:E,3,0)</f>
        <v>PCS</v>
      </c>
      <c r="G142" s="357" t="str">
        <f>VLOOKUP(D142,[6]USE!A:D,4,0)</f>
        <v>C62</v>
      </c>
      <c r="H142" s="357" t="s">
        <v>512</v>
      </c>
    </row>
    <row r="143" spans="2:8" ht="30.75" customHeight="1">
      <c r="B143" s="357" t="s">
        <v>274</v>
      </c>
      <c r="C143" s="357" t="s">
        <v>513</v>
      </c>
      <c r="D143" s="357" t="s">
        <v>294</v>
      </c>
      <c r="E143" s="357" t="str">
        <f>VLOOKUP(D143,[6]USE!A:D,2,0)</f>
        <v>000206</v>
      </c>
      <c r="F143" s="357" t="str">
        <f>VLOOKUP(D143,[6]USE!A:E,3,0)</f>
        <v>PCS</v>
      </c>
      <c r="G143" s="357" t="str">
        <f>VLOOKUP(D143,[6]USE!A:D,4,0)</f>
        <v>C62</v>
      </c>
      <c r="H143" s="357" t="s">
        <v>514</v>
      </c>
    </row>
    <row r="144" spans="2:8" ht="30.75" customHeight="1">
      <c r="B144" s="343"/>
      <c r="C144" s="343"/>
      <c r="D144" s="343"/>
      <c r="E144" s="343" t="e">
        <f>VLOOKUP(D144,[6]USE!A:D,2,0)</f>
        <v>#N/A</v>
      </c>
      <c r="F144" s="343" t="e">
        <f>VLOOKUP(D144,[6]USE!A:E,3,0)</f>
        <v>#N/A</v>
      </c>
      <c r="G144" s="343" t="e">
        <f>VLOOKUP(D144,[6]USE!A:D,4,0)</f>
        <v>#N/A</v>
      </c>
      <c r="H144" s="343"/>
    </row>
    <row r="145" spans="2:8" ht="30.75" customHeight="1">
      <c r="B145" s="343"/>
      <c r="C145" s="343"/>
      <c r="D145" s="343"/>
      <c r="E145" s="343" t="e">
        <f>VLOOKUP(D145,[6]USE!A:D,2,0)</f>
        <v>#N/A</v>
      </c>
      <c r="F145" s="343" t="e">
        <f>VLOOKUP(D145,[6]USE!A:E,3,0)</f>
        <v>#N/A</v>
      </c>
      <c r="G145" s="343" t="e">
        <f>VLOOKUP(D145,[6]USE!A:D,4,0)</f>
        <v>#N/A</v>
      </c>
      <c r="H145" s="343"/>
    </row>
    <row r="146" spans="2:8" ht="30.75" customHeight="1">
      <c r="B146" s="343"/>
      <c r="C146" s="343"/>
      <c r="D146" s="343"/>
      <c r="E146" s="343" t="e">
        <f>VLOOKUP(D146,[6]USE!A:D,2,0)</f>
        <v>#N/A</v>
      </c>
      <c r="F146" s="343" t="e">
        <f>VLOOKUP(D146,[6]USE!A:E,3,0)</f>
        <v>#N/A</v>
      </c>
      <c r="G146" s="343" t="e">
        <f>VLOOKUP(D146,[6]USE!A:D,4,0)</f>
        <v>#N/A</v>
      </c>
      <c r="H146" s="343"/>
    </row>
    <row r="147" spans="2:8" ht="30.75" customHeight="1">
      <c r="B147" s="343"/>
      <c r="C147" s="343"/>
      <c r="D147" s="343"/>
      <c r="E147" s="343" t="e">
        <f>VLOOKUP(D147,[6]USE!A:D,2,0)</f>
        <v>#N/A</v>
      </c>
      <c r="F147" s="343" t="e">
        <f>VLOOKUP(D147,[6]USE!A:E,3,0)</f>
        <v>#N/A</v>
      </c>
      <c r="G147" s="343" t="e">
        <f>VLOOKUP(D147,[6]USE!A:D,4,0)</f>
        <v>#N/A</v>
      </c>
      <c r="H147" s="343"/>
    </row>
    <row r="148" spans="2:8" ht="30.75" customHeight="1">
      <c r="B148" s="343"/>
      <c r="C148" s="343"/>
      <c r="D148" s="343"/>
      <c r="E148" s="343" t="e">
        <f>VLOOKUP(D148,[6]USE!A:D,2,0)</f>
        <v>#N/A</v>
      </c>
      <c r="F148" s="343" t="e">
        <f>VLOOKUP(D148,[6]USE!A:E,3,0)</f>
        <v>#N/A</v>
      </c>
      <c r="G148" s="343" t="e">
        <f>VLOOKUP(D148,[6]USE!A:D,4,0)</f>
        <v>#N/A</v>
      </c>
      <c r="H148" s="343"/>
    </row>
    <row r="149" spans="2:8" ht="30.75" customHeight="1">
      <c r="B149" s="343"/>
      <c r="C149" s="343"/>
      <c r="D149" s="343"/>
      <c r="E149" s="343" t="e">
        <f>VLOOKUP(D149,[6]USE!A:D,2,0)</f>
        <v>#N/A</v>
      </c>
      <c r="F149" s="343" t="e">
        <f>VLOOKUP(D149,[6]USE!A:E,3,0)</f>
        <v>#N/A</v>
      </c>
      <c r="G149" s="343" t="e">
        <f>VLOOKUP(D149,[6]USE!A:D,4,0)</f>
        <v>#N/A</v>
      </c>
      <c r="H149" s="343"/>
    </row>
    <row r="150" spans="2:8" ht="30.75" customHeight="1">
      <c r="B150" s="343"/>
      <c r="C150" s="343"/>
      <c r="D150" s="343"/>
      <c r="E150" s="343" t="e">
        <f>VLOOKUP(D150,[6]USE!A:D,2,0)</f>
        <v>#N/A</v>
      </c>
      <c r="F150" s="343" t="e">
        <f>VLOOKUP(D150,[6]USE!A:E,3,0)</f>
        <v>#N/A</v>
      </c>
      <c r="G150" s="343" t="e">
        <f>VLOOKUP(D150,[6]USE!A:D,4,0)</f>
        <v>#N/A</v>
      </c>
      <c r="H150" s="343"/>
    </row>
    <row r="151" spans="2:8" ht="30.75" customHeight="1">
      <c r="B151" s="343"/>
      <c r="C151" s="343"/>
      <c r="D151" s="343"/>
      <c r="E151" s="343" t="e">
        <f>VLOOKUP(D151,[6]USE!A:D,2,0)</f>
        <v>#N/A</v>
      </c>
      <c r="F151" s="343" t="e">
        <f>VLOOKUP(D151,[6]USE!A:E,3,0)</f>
        <v>#N/A</v>
      </c>
      <c r="G151" s="343" t="e">
        <f>VLOOKUP(D151,[6]USE!A:D,4,0)</f>
        <v>#N/A</v>
      </c>
      <c r="H151" s="343"/>
    </row>
    <row r="152" spans="2:8" ht="30.75" customHeight="1">
      <c r="B152" s="343"/>
      <c r="C152" s="343"/>
      <c r="D152" s="343"/>
      <c r="E152" s="343" t="e">
        <f>VLOOKUP(D152,[6]USE!A:D,2,0)</f>
        <v>#N/A</v>
      </c>
      <c r="F152" s="343" t="e">
        <f>VLOOKUP(D152,[6]USE!A:E,3,0)</f>
        <v>#N/A</v>
      </c>
      <c r="G152" s="343" t="e">
        <f>VLOOKUP(D152,[6]USE!A:D,4,0)</f>
        <v>#N/A</v>
      </c>
      <c r="H152" s="343"/>
    </row>
    <row r="153" spans="2:8" ht="30.75" customHeight="1">
      <c r="B153" s="343"/>
      <c r="C153" s="343"/>
      <c r="D153" s="343"/>
      <c r="E153" s="343" t="e">
        <f>VLOOKUP(D153,[6]USE!A:D,2,0)</f>
        <v>#N/A</v>
      </c>
      <c r="F153" s="343" t="e">
        <f>VLOOKUP(D153,[6]USE!A:E,3,0)</f>
        <v>#N/A</v>
      </c>
      <c r="G153" s="343" t="e">
        <f>VLOOKUP(D153,[6]USE!A:D,4,0)</f>
        <v>#N/A</v>
      </c>
      <c r="H153" s="343"/>
    </row>
    <row r="154" spans="2:8" ht="30.75" customHeight="1">
      <c r="B154" s="343"/>
      <c r="C154" s="343"/>
      <c r="D154" s="343"/>
      <c r="E154" s="343" t="e">
        <f>VLOOKUP(D154,[6]USE!A:D,2,0)</f>
        <v>#N/A</v>
      </c>
      <c r="F154" s="343" t="e">
        <f>VLOOKUP(D154,[6]USE!A:E,3,0)</f>
        <v>#N/A</v>
      </c>
      <c r="G154" s="343" t="e">
        <f>VLOOKUP(D154,[6]USE!A:D,4,0)</f>
        <v>#N/A</v>
      </c>
      <c r="H154" s="343"/>
    </row>
    <row r="155" spans="2:8" ht="30.75" customHeight="1">
      <c r="B155" s="343"/>
      <c r="C155" s="343"/>
      <c r="D155" s="343"/>
      <c r="E155" s="343" t="e">
        <f>VLOOKUP(D155,[6]USE!A:D,2,0)</f>
        <v>#N/A</v>
      </c>
      <c r="F155" s="343" t="e">
        <f>VLOOKUP(D155,[6]USE!A:E,3,0)</f>
        <v>#N/A</v>
      </c>
      <c r="G155" s="343" t="e">
        <f>VLOOKUP(D155,[6]USE!A:D,4,0)</f>
        <v>#N/A</v>
      </c>
      <c r="H155" s="343"/>
    </row>
    <row r="156" spans="2:8" ht="30.75" customHeight="1">
      <c r="B156" s="343"/>
      <c r="C156" s="343"/>
      <c r="D156" s="343"/>
      <c r="E156" s="343" t="e">
        <f>VLOOKUP(D156,[6]USE!A:D,2,0)</f>
        <v>#N/A</v>
      </c>
      <c r="F156" s="343" t="e">
        <f>VLOOKUP(D156,[6]USE!A:E,3,0)</f>
        <v>#N/A</v>
      </c>
      <c r="G156" s="343" t="e">
        <f>VLOOKUP(D156,[6]USE!A:D,4,0)</f>
        <v>#N/A</v>
      </c>
      <c r="H156" s="343"/>
    </row>
    <row r="157" spans="2:8" ht="30.75" customHeight="1">
      <c r="B157" s="343"/>
      <c r="C157" s="343"/>
      <c r="D157" s="343"/>
      <c r="E157" s="343" t="e">
        <f>VLOOKUP(D157,[6]USE!A:D,2,0)</f>
        <v>#N/A</v>
      </c>
      <c r="F157" s="343" t="e">
        <f>VLOOKUP(D157,[6]USE!A:E,3,0)</f>
        <v>#N/A</v>
      </c>
      <c r="G157" s="343" t="e">
        <f>VLOOKUP(D157,[6]USE!A:D,4,0)</f>
        <v>#N/A</v>
      </c>
      <c r="H157" s="343"/>
    </row>
    <row r="158" spans="2:8" ht="30.75" customHeight="1">
      <c r="B158" s="343"/>
      <c r="C158" s="343"/>
      <c r="D158" s="343"/>
      <c r="E158" s="343" t="e">
        <f>VLOOKUP(D158,[6]USE!A:D,2,0)</f>
        <v>#N/A</v>
      </c>
      <c r="F158" s="343" t="e">
        <f>VLOOKUP(D158,[6]USE!A:E,3,0)</f>
        <v>#N/A</v>
      </c>
      <c r="G158" s="343" t="e">
        <f>VLOOKUP(D158,[6]USE!A:D,4,0)</f>
        <v>#N/A</v>
      </c>
      <c r="H158" s="343"/>
    </row>
    <row r="159" spans="2:8" ht="30.75" customHeight="1">
      <c r="B159" s="343"/>
      <c r="C159" s="343"/>
      <c r="D159" s="343"/>
      <c r="E159" s="343" t="e">
        <f>VLOOKUP(D159,[6]USE!A:D,2,0)</f>
        <v>#N/A</v>
      </c>
      <c r="F159" s="343" t="e">
        <f>VLOOKUP(D159,[6]USE!A:E,3,0)</f>
        <v>#N/A</v>
      </c>
      <c r="G159" s="343" t="e">
        <f>VLOOKUP(D159,[6]USE!A:D,4,0)</f>
        <v>#N/A</v>
      </c>
      <c r="H159" s="343"/>
    </row>
    <row r="160" spans="2:8" ht="30.75" customHeight="1">
      <c r="B160" s="343"/>
      <c r="C160" s="343"/>
      <c r="D160" s="343"/>
      <c r="E160" s="343" t="e">
        <f>VLOOKUP(D160,[6]USE!A:D,2,0)</f>
        <v>#N/A</v>
      </c>
      <c r="F160" s="343" t="e">
        <f>VLOOKUP(D160,[6]USE!A:E,3,0)</f>
        <v>#N/A</v>
      </c>
      <c r="G160" s="343" t="e">
        <f>VLOOKUP(D160,[6]USE!A:D,4,0)</f>
        <v>#N/A</v>
      </c>
      <c r="H160" s="343"/>
    </row>
    <row r="161" spans="2:8" ht="30.75" customHeight="1">
      <c r="B161" s="343"/>
      <c r="C161" s="343"/>
      <c r="D161" s="343"/>
      <c r="E161" s="343" t="e">
        <f>VLOOKUP(D161,[6]USE!A:D,2,0)</f>
        <v>#N/A</v>
      </c>
      <c r="F161" s="343" t="e">
        <f>VLOOKUP(D161,[6]USE!A:E,3,0)</f>
        <v>#N/A</v>
      </c>
      <c r="G161" s="343" t="e">
        <f>VLOOKUP(D161,[6]USE!A:D,4,0)</f>
        <v>#N/A</v>
      </c>
      <c r="H161" s="343"/>
    </row>
    <row r="162" spans="2:8" ht="30.75" customHeight="1">
      <c r="B162" s="343"/>
      <c r="C162" s="343"/>
      <c r="D162" s="343"/>
      <c r="E162" s="343" t="e">
        <f>VLOOKUP(D162,[6]USE!A:D,2,0)</f>
        <v>#N/A</v>
      </c>
      <c r="F162" s="343" t="e">
        <f>VLOOKUP(D162,[6]USE!A:E,3,0)</f>
        <v>#N/A</v>
      </c>
      <c r="G162" s="343" t="e">
        <f>VLOOKUP(D162,[6]USE!A:D,4,0)</f>
        <v>#N/A</v>
      </c>
      <c r="H162" s="343"/>
    </row>
    <row r="163" spans="2:8" ht="30.75" customHeight="1">
      <c r="B163" s="343"/>
      <c r="C163" s="343"/>
      <c r="D163" s="343"/>
      <c r="E163" s="343" t="e">
        <f>VLOOKUP(D163,[6]USE!A:D,2,0)</f>
        <v>#N/A</v>
      </c>
      <c r="F163" s="343" t="e">
        <f>VLOOKUP(D163,[6]USE!A:E,3,0)</f>
        <v>#N/A</v>
      </c>
      <c r="G163" s="343" t="e">
        <f>VLOOKUP(D163,[6]USE!A:D,4,0)</f>
        <v>#N/A</v>
      </c>
      <c r="H163" s="343"/>
    </row>
    <row r="164" spans="2:8" ht="30.75" customHeight="1">
      <c r="B164" s="343"/>
      <c r="C164" s="343"/>
      <c r="D164" s="343"/>
      <c r="E164" s="343" t="e">
        <f>VLOOKUP(D164,[6]USE!A:D,2,0)</f>
        <v>#N/A</v>
      </c>
      <c r="F164" s="343" t="e">
        <f>VLOOKUP(D164,[6]USE!A:E,3,0)</f>
        <v>#N/A</v>
      </c>
      <c r="G164" s="343" t="e">
        <f>VLOOKUP(D164,[6]USE!A:D,4,0)</f>
        <v>#N/A</v>
      </c>
      <c r="H164" s="343"/>
    </row>
    <row r="165" spans="2:8" ht="30.75" customHeight="1">
      <c r="B165" s="358"/>
      <c r="C165" s="358"/>
      <c r="D165" s="358"/>
      <c r="E165" s="358"/>
      <c r="F165" s="358"/>
      <c r="G165" s="358"/>
      <c r="H165" s="358"/>
    </row>
    <row r="166" spans="2:8" ht="30.75" customHeight="1">
      <c r="B166" s="358"/>
      <c r="C166" s="358"/>
      <c r="D166" s="358"/>
      <c r="E166" s="358"/>
      <c r="F166" s="358"/>
      <c r="G166" s="358"/>
      <c r="H166" s="358"/>
    </row>
    <row r="167" spans="2:8" ht="30.75" customHeight="1">
      <c r="B167" s="358"/>
      <c r="C167" s="358"/>
      <c r="D167" s="358"/>
      <c r="E167" s="358"/>
      <c r="F167" s="358"/>
      <c r="G167" s="358"/>
      <c r="H167" s="358"/>
    </row>
    <row r="168" spans="2:8" ht="30.75" customHeight="1">
      <c r="B168" s="358"/>
      <c r="C168" s="358"/>
      <c r="D168" s="358"/>
      <c r="E168" s="358"/>
      <c r="F168" s="358"/>
      <c r="G168" s="358"/>
      <c r="H168" s="358"/>
    </row>
    <row r="169" spans="2:8" ht="30.75" customHeight="1">
      <c r="B169" s="358"/>
      <c r="C169" s="358"/>
      <c r="D169" s="358"/>
      <c r="E169" s="358"/>
      <c r="F169" s="358"/>
      <c r="G169" s="358"/>
      <c r="H169" s="358"/>
    </row>
    <row r="170" spans="2:8" ht="30.75" customHeight="1">
      <c r="B170" s="358"/>
      <c r="C170" s="358"/>
      <c r="D170" s="358"/>
      <c r="E170" s="358"/>
      <c r="F170" s="358"/>
      <c r="G170" s="358"/>
      <c r="H170" s="358"/>
    </row>
    <row r="171" spans="2:8" ht="30.75" customHeight="1">
      <c r="B171" s="358"/>
      <c r="C171" s="358"/>
      <c r="D171" s="358"/>
      <c r="E171" s="358"/>
      <c r="F171" s="358"/>
      <c r="G171" s="358"/>
      <c r="H171" s="358"/>
    </row>
    <row r="172" spans="2:8" ht="30.75" customHeight="1">
      <c r="B172" s="358"/>
      <c r="C172" s="358"/>
      <c r="D172" s="358"/>
      <c r="E172" s="358"/>
      <c r="F172" s="358"/>
      <c r="G172" s="358"/>
      <c r="H172" s="358"/>
    </row>
    <row r="173" spans="2:8" ht="30.75" customHeight="1">
      <c r="B173" s="358"/>
      <c r="C173" s="358"/>
      <c r="D173" s="358"/>
      <c r="E173" s="358"/>
      <c r="F173" s="358"/>
      <c r="G173" s="358"/>
      <c r="H173" s="358"/>
    </row>
    <row r="174" spans="2:8" ht="30.75" customHeight="1">
      <c r="B174" s="358"/>
      <c r="C174" s="358"/>
      <c r="D174" s="358"/>
      <c r="E174" s="358"/>
      <c r="F174" s="358"/>
      <c r="G174" s="358"/>
      <c r="H174" s="358"/>
    </row>
    <row r="175" spans="2:8" ht="30.75" customHeight="1">
      <c r="B175" s="358"/>
      <c r="C175" s="358"/>
      <c r="D175" s="358"/>
      <c r="E175" s="358"/>
      <c r="F175" s="358"/>
      <c r="G175" s="358"/>
      <c r="H175" s="358"/>
    </row>
    <row r="176" spans="2:8" ht="30.75" customHeight="1">
      <c r="B176" s="358"/>
      <c r="C176" s="358"/>
      <c r="D176" s="358"/>
      <c r="E176" s="358"/>
      <c r="F176" s="358"/>
      <c r="G176" s="358"/>
      <c r="H176" s="358"/>
    </row>
    <row r="177" spans="2:8" ht="30.75" customHeight="1">
      <c r="B177" s="358"/>
      <c r="C177" s="358"/>
      <c r="D177" s="358"/>
      <c r="E177" s="358"/>
      <c r="F177" s="358"/>
      <c r="G177" s="358"/>
      <c r="H177" s="358"/>
    </row>
    <row r="178" spans="2:8" ht="30.75" customHeight="1">
      <c r="B178" s="358"/>
      <c r="C178" s="358"/>
      <c r="D178" s="358"/>
      <c r="E178" s="358"/>
      <c r="F178" s="358"/>
      <c r="G178" s="358"/>
      <c r="H178" s="358"/>
    </row>
    <row r="179" spans="2:8" ht="30.75" customHeight="1">
      <c r="B179" s="358"/>
      <c r="C179" s="358"/>
      <c r="D179" s="358"/>
      <c r="E179" s="358"/>
      <c r="F179" s="358"/>
      <c r="G179" s="358"/>
      <c r="H179" s="358"/>
    </row>
    <row r="180" spans="2:8" ht="30.75" customHeight="1">
      <c r="B180" s="358"/>
      <c r="C180" s="358"/>
      <c r="D180" s="358"/>
      <c r="E180" s="358"/>
      <c r="F180" s="358"/>
      <c r="G180" s="358"/>
      <c r="H180" s="358"/>
    </row>
    <row r="181" spans="2:8" ht="30.75" customHeight="1">
      <c r="B181" s="358"/>
      <c r="C181" s="358"/>
      <c r="D181" s="358"/>
      <c r="E181" s="358"/>
      <c r="F181" s="358"/>
      <c r="G181" s="358"/>
      <c r="H181" s="358"/>
    </row>
    <row r="182" spans="2:8" ht="30.75" customHeight="1">
      <c r="B182" s="358"/>
      <c r="C182" s="358"/>
      <c r="D182" s="358"/>
      <c r="E182" s="358"/>
      <c r="F182" s="358"/>
      <c r="G182" s="358"/>
      <c r="H182" s="358"/>
    </row>
    <row r="183" spans="2:8" ht="30.75" customHeight="1">
      <c r="B183" s="358"/>
      <c r="C183" s="358"/>
      <c r="D183" s="358"/>
      <c r="E183" s="358"/>
      <c r="F183" s="358"/>
      <c r="G183" s="358"/>
      <c r="H183" s="358"/>
    </row>
    <row r="184" spans="2:8" ht="30.75" customHeight="1">
      <c r="B184" s="358"/>
      <c r="C184" s="358"/>
      <c r="D184" s="358"/>
      <c r="E184" s="358"/>
      <c r="F184" s="358"/>
      <c r="G184" s="358"/>
      <c r="H184" s="358"/>
    </row>
    <row r="185" spans="2:8" ht="30.75" customHeight="1">
      <c r="B185" s="358"/>
      <c r="C185" s="358"/>
      <c r="D185" s="358"/>
      <c r="E185" s="358"/>
      <c r="F185" s="358"/>
      <c r="G185" s="358"/>
      <c r="H185" s="358"/>
    </row>
    <row r="186" spans="2:8" ht="30.75" customHeight="1">
      <c r="B186" s="358"/>
      <c r="C186" s="358"/>
      <c r="D186" s="358"/>
      <c r="E186" s="358"/>
      <c r="F186" s="358"/>
      <c r="G186" s="358"/>
      <c r="H186" s="358"/>
    </row>
    <row r="187" spans="2:8" ht="30.75" customHeight="1">
      <c r="B187" s="358"/>
      <c r="C187" s="358"/>
      <c r="D187" s="358"/>
      <c r="E187" s="358"/>
      <c r="F187" s="358"/>
      <c r="G187" s="358"/>
      <c r="H187" s="358"/>
    </row>
    <row r="188" spans="2:8" ht="30.75" customHeight="1">
      <c r="B188" s="358"/>
      <c r="C188" s="358"/>
      <c r="D188" s="358"/>
      <c r="E188" s="358"/>
      <c r="F188" s="358"/>
      <c r="G188" s="358"/>
      <c r="H188" s="358"/>
    </row>
    <row r="189" spans="2:8" ht="30.75" customHeight="1">
      <c r="B189" s="358"/>
      <c r="C189" s="358"/>
      <c r="D189" s="358"/>
      <c r="E189" s="358"/>
      <c r="F189" s="358"/>
      <c r="G189" s="358"/>
      <c r="H189" s="358"/>
    </row>
    <row r="190" spans="2:8" ht="30.75" customHeight="1">
      <c r="B190" s="358"/>
      <c r="C190" s="358"/>
      <c r="D190" s="358"/>
      <c r="E190" s="358"/>
      <c r="F190" s="358"/>
      <c r="G190" s="358"/>
      <c r="H190" s="358"/>
    </row>
    <row r="191" spans="2:8" ht="30.75" customHeight="1">
      <c r="B191" s="358"/>
      <c r="C191" s="358"/>
      <c r="D191" s="358"/>
      <c r="E191" s="358"/>
      <c r="F191" s="358"/>
      <c r="G191" s="358"/>
      <c r="H191" s="358"/>
    </row>
    <row r="192" spans="2:8" ht="30.75" customHeight="1">
      <c r="B192" s="358"/>
      <c r="C192" s="358"/>
      <c r="D192" s="358"/>
      <c r="E192" s="358"/>
      <c r="F192" s="358"/>
      <c r="G192" s="358"/>
      <c r="H192" s="358"/>
    </row>
    <row r="193" spans="2:8" ht="30.75" customHeight="1">
      <c r="B193" s="358"/>
      <c r="C193" s="358"/>
      <c r="D193" s="358"/>
      <c r="E193" s="358"/>
      <c r="F193" s="358"/>
      <c r="G193" s="358"/>
      <c r="H193" s="358"/>
    </row>
    <row r="194" spans="2:8" ht="30.75" customHeight="1">
      <c r="B194" s="358"/>
      <c r="C194" s="358"/>
      <c r="D194" s="358"/>
      <c r="E194" s="358"/>
      <c r="F194" s="358"/>
      <c r="G194" s="358"/>
      <c r="H194" s="358"/>
    </row>
    <row r="195" spans="2:8" ht="30.75" customHeight="1">
      <c r="B195" s="358"/>
      <c r="C195" s="358"/>
      <c r="D195" s="358"/>
      <c r="E195" s="358"/>
      <c r="F195" s="358"/>
      <c r="G195" s="358"/>
      <c r="H195" s="358"/>
    </row>
    <row r="196" spans="2:8" ht="30.75" customHeight="1">
      <c r="B196" s="358"/>
      <c r="C196" s="358"/>
      <c r="D196" s="358"/>
      <c r="E196" s="358"/>
      <c r="F196" s="358"/>
      <c r="G196" s="358"/>
      <c r="H196" s="358"/>
    </row>
    <row r="197" spans="2:8" ht="30.75" customHeight="1">
      <c r="B197" s="358"/>
      <c r="C197" s="358"/>
      <c r="D197" s="358"/>
      <c r="E197" s="358"/>
      <c r="F197" s="358"/>
      <c r="G197" s="358"/>
      <c r="H197" s="358"/>
    </row>
    <row r="198" spans="2:8" ht="30.75" customHeight="1">
      <c r="B198" s="358"/>
      <c r="C198" s="358"/>
      <c r="D198" s="358"/>
      <c r="E198" s="358"/>
      <c r="F198" s="358"/>
      <c r="G198" s="358"/>
      <c r="H198" s="358"/>
    </row>
    <row r="199" spans="2:8" ht="30.75" customHeight="1">
      <c r="B199" s="358"/>
      <c r="C199" s="358"/>
      <c r="D199" s="358"/>
      <c r="E199" s="358"/>
      <c r="F199" s="358"/>
      <c r="G199" s="358"/>
      <c r="H199" s="358"/>
    </row>
    <row r="200" spans="2:8" ht="30.75" customHeight="1">
      <c r="B200" s="358"/>
      <c r="C200" s="358"/>
      <c r="D200" s="358"/>
      <c r="E200" s="358"/>
      <c r="F200" s="358"/>
      <c r="G200" s="358"/>
      <c r="H200" s="358"/>
    </row>
    <row r="201" spans="2:8" ht="30.75" customHeight="1">
      <c r="B201" s="358"/>
      <c r="C201" s="358"/>
      <c r="D201" s="358"/>
      <c r="E201" s="358"/>
      <c r="F201" s="358"/>
      <c r="G201" s="358"/>
      <c r="H201" s="358"/>
    </row>
    <row r="202" spans="2:8" ht="30.75" customHeight="1">
      <c r="B202" s="358"/>
      <c r="C202" s="358"/>
      <c r="D202" s="358"/>
      <c r="E202" s="358"/>
      <c r="F202" s="358"/>
      <c r="G202" s="358"/>
      <c r="H202" s="358"/>
    </row>
    <row r="203" spans="2:8" ht="30.75" customHeight="1">
      <c r="B203" s="358"/>
      <c r="C203" s="358"/>
      <c r="D203" s="358"/>
      <c r="E203" s="358"/>
      <c r="F203" s="358"/>
      <c r="G203" s="358"/>
      <c r="H203" s="358"/>
    </row>
    <row r="204" spans="2:8" ht="30.75" customHeight="1">
      <c r="B204" s="358"/>
      <c r="C204" s="358"/>
      <c r="D204" s="358"/>
      <c r="E204" s="358"/>
      <c r="F204" s="358"/>
      <c r="G204" s="358"/>
      <c r="H204" s="358"/>
    </row>
    <row r="205" spans="2:8" ht="30.75" customHeight="1">
      <c r="B205" s="358"/>
      <c r="C205" s="358"/>
      <c r="D205" s="358"/>
      <c r="E205" s="358"/>
      <c r="F205" s="358"/>
      <c r="G205" s="358"/>
      <c r="H205" s="358"/>
    </row>
    <row r="206" spans="2:8" ht="30.75" customHeight="1">
      <c r="B206" s="358"/>
      <c r="C206" s="358"/>
      <c r="D206" s="358"/>
      <c r="E206" s="358"/>
      <c r="F206" s="358"/>
      <c r="G206" s="358"/>
      <c r="H206" s="358"/>
    </row>
    <row r="207" spans="2:8" ht="30.75" customHeight="1">
      <c r="B207" s="358"/>
      <c r="C207" s="358"/>
      <c r="D207" s="358"/>
      <c r="E207" s="358"/>
      <c r="F207" s="358"/>
      <c r="G207" s="358"/>
      <c r="H207" s="358"/>
    </row>
    <row r="208" spans="2:8" ht="30.75" customHeight="1">
      <c r="B208" s="358"/>
      <c r="C208" s="358"/>
      <c r="D208" s="358"/>
      <c r="E208" s="358"/>
      <c r="F208" s="358"/>
      <c r="G208" s="358"/>
      <c r="H208" s="358"/>
    </row>
    <row r="209" spans="2:8" ht="30.75" customHeight="1">
      <c r="B209" s="358"/>
      <c r="C209" s="358"/>
      <c r="D209" s="358"/>
      <c r="E209" s="358"/>
      <c r="F209" s="358"/>
      <c r="G209" s="358"/>
      <c r="H209" s="358"/>
    </row>
    <row r="210" spans="2:8" ht="30.75" customHeight="1">
      <c r="B210" s="358"/>
      <c r="C210" s="358"/>
      <c r="D210" s="358"/>
      <c r="E210" s="358"/>
      <c r="F210" s="358"/>
      <c r="G210" s="358"/>
      <c r="H210" s="358"/>
    </row>
    <row r="211" spans="2:8" ht="30.75" customHeight="1">
      <c r="B211" s="358"/>
      <c r="C211" s="358"/>
      <c r="D211" s="358"/>
      <c r="E211" s="358"/>
      <c r="F211" s="358"/>
      <c r="G211" s="358"/>
      <c r="H211" s="358"/>
    </row>
    <row r="212" spans="2:8" ht="30.75" customHeight="1">
      <c r="B212" s="358"/>
      <c r="C212" s="358"/>
      <c r="D212" s="358"/>
      <c r="E212" s="358"/>
      <c r="F212" s="358"/>
      <c r="G212" s="358"/>
      <c r="H212" s="358"/>
    </row>
    <row r="213" spans="2:8" ht="30.75" customHeight="1">
      <c r="B213" s="358"/>
      <c r="C213" s="358"/>
      <c r="D213" s="358"/>
      <c r="E213" s="358"/>
      <c r="F213" s="358"/>
      <c r="G213" s="358"/>
      <c r="H213" s="358"/>
    </row>
    <row r="214" spans="2:8" ht="30.75" customHeight="1">
      <c r="B214" s="358"/>
      <c r="C214" s="358"/>
      <c r="D214" s="358"/>
      <c r="E214" s="358"/>
      <c r="F214" s="358"/>
      <c r="G214" s="358"/>
      <c r="H214" s="358"/>
    </row>
    <row r="215" spans="2:8" ht="30.75" customHeight="1">
      <c r="B215" s="358"/>
      <c r="C215" s="358"/>
      <c r="D215" s="358"/>
      <c r="E215" s="358"/>
      <c r="F215" s="358"/>
      <c r="G215" s="358"/>
      <c r="H215" s="358"/>
    </row>
    <row r="216" spans="2:8" ht="30.75" customHeight="1">
      <c r="B216" s="358"/>
      <c r="C216" s="358"/>
      <c r="D216" s="358"/>
      <c r="E216" s="358"/>
      <c r="F216" s="358"/>
      <c r="G216" s="358"/>
      <c r="H216" s="358"/>
    </row>
    <row r="217" spans="2:8" ht="30.75" customHeight="1">
      <c r="B217" s="358"/>
      <c r="C217" s="358"/>
      <c r="D217" s="358"/>
      <c r="E217" s="358"/>
      <c r="F217" s="358"/>
      <c r="G217" s="358"/>
      <c r="H217" s="358"/>
    </row>
  </sheetData>
  <autoFilter ref="B2:H164" xr:uid="{00000000-0001-0000-0800-000000000000}"/>
  <conditionalFormatting sqref="N1:N2 N79:N89 N92:N1048576">
    <cfRule type="containsText" dxfId="13" priority="2" operator="containsText" text="999999">
      <formula>NOT(ISERROR(SEARCH("999999",N1)))</formula>
    </cfRule>
  </conditionalFormatting>
  <conditionalFormatting sqref="N90:N91">
    <cfRule type="containsText" dxfId="12" priority="1" operator="containsText" text="999999">
      <formula>NOT(ISERROR(SEARCH("999999",N90)))</formula>
    </cfRule>
  </conditionalFormatting>
  <pageMargins left="0.37" right="0.15748031496062992" top="0.25" bottom="0.28999999999999998" header="0.19" footer="0.17"/>
  <pageSetup paperSize="9" scale="36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34"/>
  <sheetViews>
    <sheetView tabSelected="1" view="pageBreakPreview" zoomScale="85" zoomScaleNormal="85" zoomScaleSheetLayoutView="85" workbookViewId="0">
      <selection activeCell="C14" sqref="C14"/>
    </sheetView>
  </sheetViews>
  <sheetFormatPr defaultColWidth="9.109375" defaultRowHeight="18"/>
  <cols>
    <col min="1" max="1" width="5.109375" style="3" customWidth="1"/>
    <col min="2" max="2" width="13.109375" style="3" customWidth="1"/>
    <col min="3" max="3" width="17.6640625" style="3" customWidth="1"/>
    <col min="4" max="4" width="7.5546875" style="3" customWidth="1"/>
    <col min="5" max="5" width="15.5546875" style="3" customWidth="1"/>
    <col min="6" max="6" width="8.5546875" style="3" customWidth="1"/>
    <col min="7" max="7" width="6.109375" style="3" customWidth="1"/>
    <col min="8" max="8" width="14.44140625" style="21" customWidth="1"/>
    <col min="9" max="9" width="28.88671875" style="3" customWidth="1"/>
    <col min="10" max="10" width="13.109375" style="3" customWidth="1"/>
    <col min="11" max="11" width="9.109375" style="20" hidden="1" customWidth="1"/>
    <col min="12" max="12" width="14.88671875" style="3" hidden="1" customWidth="1"/>
    <col min="13" max="13" width="22.33203125" style="3" hidden="1" customWidth="1"/>
    <col min="14" max="14" width="11.44140625" style="3" hidden="1" customWidth="1"/>
    <col min="15" max="15" width="9.109375" style="3" hidden="1" customWidth="1"/>
    <col min="16" max="16" width="9.109375" style="3" customWidth="1"/>
    <col min="17" max="17" width="14.44140625" style="3" customWidth="1"/>
    <col min="18" max="16384" width="9.109375" style="3"/>
  </cols>
  <sheetData>
    <row r="1" spans="1:11">
      <c r="A1" s="2" t="s">
        <v>19</v>
      </c>
      <c r="B1" s="38"/>
      <c r="C1" s="9"/>
      <c r="D1" s="9"/>
      <c r="E1" s="9"/>
      <c r="F1" s="9"/>
      <c r="G1" s="9"/>
      <c r="H1" s="39"/>
      <c r="I1" s="9"/>
    </row>
    <row r="2" spans="1:11" s="129" customFormat="1" ht="17.399999999999999">
      <c r="A2" s="129" t="s">
        <v>107</v>
      </c>
      <c r="B2" s="130"/>
      <c r="C2" s="130"/>
      <c r="D2" s="130"/>
      <c r="E2" s="130"/>
      <c r="F2" s="130"/>
      <c r="G2" s="130"/>
      <c r="H2" s="130"/>
      <c r="I2" s="130"/>
    </row>
    <row r="3" spans="1:11" s="129" customFormat="1" ht="17.399999999999999">
      <c r="A3" s="129" t="s">
        <v>41</v>
      </c>
      <c r="B3" s="130"/>
      <c r="C3" s="130"/>
      <c r="D3" s="130"/>
      <c r="E3" s="130"/>
      <c r="F3" s="130"/>
      <c r="G3" s="130"/>
      <c r="H3" s="130"/>
      <c r="I3" s="130"/>
    </row>
    <row r="4" spans="1:11" s="129" customFormat="1" thickBot="1">
      <c r="A4" s="131" t="s">
        <v>89</v>
      </c>
      <c r="B4" s="132"/>
      <c r="C4" s="132"/>
      <c r="D4" s="132"/>
      <c r="E4" s="132"/>
      <c r="F4" s="131"/>
      <c r="G4" s="131"/>
      <c r="H4" s="132"/>
      <c r="I4" s="132"/>
    </row>
    <row r="5" spans="1:11" ht="5.25" customHeight="1" thickTop="1">
      <c r="B5" s="9"/>
      <c r="C5" s="9"/>
      <c r="D5" s="9"/>
      <c r="E5" s="9"/>
      <c r="F5" s="9"/>
      <c r="G5" s="9"/>
      <c r="H5" s="39"/>
      <c r="I5" s="9"/>
    </row>
    <row r="6" spans="1:11" ht="23.4">
      <c r="A6" s="380" t="s">
        <v>8</v>
      </c>
      <c r="B6" s="380"/>
      <c r="C6" s="380"/>
      <c r="D6" s="380"/>
      <c r="E6" s="380"/>
      <c r="F6" s="380"/>
      <c r="G6" s="380"/>
      <c r="H6" s="380"/>
      <c r="I6" s="380"/>
    </row>
    <row r="7" spans="1:11" ht="5.25" customHeight="1">
      <c r="B7" s="10"/>
      <c r="C7" s="10"/>
      <c r="D7" s="10"/>
      <c r="E7" s="10"/>
      <c r="F7" s="10"/>
      <c r="G7" s="10"/>
      <c r="H7" s="11"/>
      <c r="I7" s="10"/>
    </row>
    <row r="8" spans="1:11" s="59" customFormat="1" ht="17.399999999999999">
      <c r="B8" s="59" t="s">
        <v>9</v>
      </c>
      <c r="H8" s="75" t="s">
        <v>83</v>
      </c>
      <c r="I8" s="59" t="s">
        <v>235</v>
      </c>
      <c r="K8" s="24"/>
    </row>
    <row r="9" spans="1:11" s="59" customFormat="1" ht="17.399999999999999">
      <c r="B9" s="133" t="s">
        <v>10</v>
      </c>
      <c r="C9" s="298" t="s">
        <v>20</v>
      </c>
      <c r="H9" s="75" t="s">
        <v>82</v>
      </c>
      <c r="I9" s="303">
        <v>46252</v>
      </c>
      <c r="K9" s="24"/>
    </row>
    <row r="10" spans="1:11" s="59" customFormat="1" ht="17.399999999999999">
      <c r="B10" s="129" t="s">
        <v>81</v>
      </c>
      <c r="H10" s="381" t="s">
        <v>324</v>
      </c>
      <c r="I10" s="381"/>
      <c r="K10" s="24"/>
    </row>
    <row r="11" spans="1:11" s="59" customFormat="1" ht="17.399999999999999">
      <c r="B11" s="129" t="s">
        <v>80</v>
      </c>
      <c r="H11" s="133" t="str">
        <f>CONCATENATE( "Contract (P.O date.: ",  PO!E14)</f>
        <v>Contract (P.O date.: June 15th 2026</v>
      </c>
      <c r="I11" s="69"/>
      <c r="K11" s="24"/>
    </row>
    <row r="12" spans="1:11" s="59" customFormat="1" ht="17.399999999999999">
      <c r="B12" s="129" t="s">
        <v>65</v>
      </c>
      <c r="C12" s="134"/>
      <c r="H12" s="75" t="s">
        <v>34</v>
      </c>
      <c r="K12" s="24"/>
    </row>
    <row r="13" spans="1:11" s="59" customFormat="1" ht="17.399999999999999">
      <c r="H13" s="104" t="str">
        <f>CONCATENATE( "ETA Laem Chabang: ",  PO!E18)</f>
        <v>ETA Laem Chabang: On or about August 23rd 2026</v>
      </c>
      <c r="K13" s="24"/>
    </row>
    <row r="14" spans="1:11" s="59" customFormat="1" ht="17.399999999999999">
      <c r="B14" s="76" t="s">
        <v>55</v>
      </c>
      <c r="C14" s="72" t="s">
        <v>214</v>
      </c>
      <c r="H14" s="75" t="s">
        <v>11</v>
      </c>
      <c r="K14" s="24"/>
    </row>
    <row r="15" spans="1:11" s="59" customFormat="1" ht="17.399999999999999">
      <c r="B15" s="76" t="s">
        <v>12</v>
      </c>
      <c r="C15" s="171" t="str">
        <f>CONCATENATE(PO!K18,PO!K19,PO!K20)</f>
        <v>August  19th 2026</v>
      </c>
      <c r="H15" s="75"/>
      <c r="I15" s="135" t="s">
        <v>48</v>
      </c>
      <c r="K15" s="24"/>
    </row>
    <row r="16" spans="1:11" s="59" customFormat="1" ht="17.399999999999999">
      <c r="B16" s="76" t="s">
        <v>13</v>
      </c>
      <c r="C16" s="59" t="s">
        <v>37</v>
      </c>
      <c r="H16" s="75" t="s">
        <v>49</v>
      </c>
      <c r="K16" s="24"/>
    </row>
    <row r="17" spans="1:12" s="59" customFormat="1" ht="17.399999999999999">
      <c r="B17" s="76" t="s">
        <v>86</v>
      </c>
      <c r="C17" s="59" t="s">
        <v>33</v>
      </c>
      <c r="F17" s="58"/>
      <c r="H17" s="75" t="s">
        <v>38</v>
      </c>
      <c r="K17" s="24"/>
    </row>
    <row r="18" spans="1:12" s="59" customFormat="1" ht="5.25" customHeight="1" thickBot="1">
      <c r="H18" s="104"/>
      <c r="K18" s="24"/>
    </row>
    <row r="19" spans="1:12" s="59" customFormat="1" thickTop="1">
      <c r="A19" s="296" t="s">
        <v>14</v>
      </c>
      <c r="B19" s="136"/>
      <c r="C19" s="137" t="s">
        <v>2</v>
      </c>
      <c r="D19" s="91"/>
      <c r="E19" s="91" t="s">
        <v>42</v>
      </c>
      <c r="F19" s="369" t="s">
        <v>3</v>
      </c>
      <c r="G19" s="369"/>
      <c r="H19" s="138" t="s">
        <v>36</v>
      </c>
      <c r="I19" s="296" t="s">
        <v>4</v>
      </c>
      <c r="K19" s="24"/>
    </row>
    <row r="20" spans="1:12" s="90" customFormat="1" ht="17.399999999999999">
      <c r="A20" s="139" t="str">
        <f>PO!C22</f>
        <v>PARTS FOR CNC AUTOMATIC LATHE.</v>
      </c>
      <c r="B20" s="139"/>
      <c r="C20" s="139"/>
      <c r="D20" s="140"/>
      <c r="E20" s="140"/>
      <c r="F20" s="140"/>
      <c r="G20" s="141"/>
      <c r="H20" s="142"/>
      <c r="I20" s="140"/>
      <c r="K20" s="143"/>
      <c r="L20" s="144"/>
    </row>
    <row r="21" spans="1:12" s="59" customFormat="1" ht="17.399999999999999">
      <c r="A21" s="246">
        <v>1</v>
      </c>
      <c r="B21" s="213" t="s">
        <v>98</v>
      </c>
      <c r="C21" s="146" t="s">
        <v>426</v>
      </c>
      <c r="D21" s="218"/>
      <c r="E21" s="329">
        <v>112603655</v>
      </c>
      <c r="F21" s="330">
        <v>5</v>
      </c>
      <c r="G21" s="101" t="s">
        <v>7</v>
      </c>
      <c r="H21" s="147">
        <v>255935</v>
      </c>
      <c r="I21" s="219">
        <f>IF(ISERROR(H21*F21),"",(H21*F21))</f>
        <v>1279675</v>
      </c>
      <c r="K21" s="24"/>
      <c r="L21" s="214">
        <f>VLOOKUP(B21:B77,PO!C25:J81,8,0)*F21</f>
        <v>4360</v>
      </c>
    </row>
    <row r="22" spans="1:12" s="59" customFormat="1" ht="17.399999999999999">
      <c r="A22" s="246">
        <v>2</v>
      </c>
      <c r="B22" s="213" t="s">
        <v>102</v>
      </c>
      <c r="C22" s="146" t="s">
        <v>353</v>
      </c>
      <c r="D22" s="218"/>
      <c r="E22" s="329">
        <v>112603649</v>
      </c>
      <c r="F22" s="330">
        <v>3</v>
      </c>
      <c r="G22" s="101" t="s">
        <v>7</v>
      </c>
      <c r="H22" s="147">
        <v>315980</v>
      </c>
      <c r="I22" s="219">
        <f t="shared" ref="I22:I77" si="0">IF(ISERROR(H22*F22),"",(H22*F22))</f>
        <v>947940</v>
      </c>
      <c r="K22" s="24"/>
      <c r="L22" s="214">
        <f>VLOOKUP(B22:B78,PO!C26:J82,8,0)*F22</f>
        <v>3510</v>
      </c>
    </row>
    <row r="23" spans="1:12" s="59" customFormat="1" ht="17.399999999999999">
      <c r="A23" s="246">
        <v>3</v>
      </c>
      <c r="B23" s="213" t="s">
        <v>97</v>
      </c>
      <c r="C23" s="146" t="s">
        <v>353</v>
      </c>
      <c r="D23" s="218"/>
      <c r="E23" s="329">
        <v>112602255</v>
      </c>
      <c r="F23" s="330">
        <v>8</v>
      </c>
      <c r="G23" s="101" t="s">
        <v>7</v>
      </c>
      <c r="H23" s="147">
        <v>410206</v>
      </c>
      <c r="I23" s="219">
        <f t="shared" si="0"/>
        <v>3281648</v>
      </c>
      <c r="K23" s="24"/>
      <c r="L23" s="214">
        <f>VLOOKUP(B23:B79,PO!C27:J96,8,0)*F23</f>
        <v>9360</v>
      </c>
    </row>
    <row r="24" spans="1:12" s="59" customFormat="1" ht="17.399999999999999">
      <c r="A24" s="246">
        <v>4</v>
      </c>
      <c r="B24" s="213" t="s">
        <v>99</v>
      </c>
      <c r="C24" s="146" t="s">
        <v>353</v>
      </c>
      <c r="D24" s="218"/>
      <c r="E24" s="329">
        <v>112603639</v>
      </c>
      <c r="F24" s="330">
        <v>2</v>
      </c>
      <c r="G24" s="101" t="s">
        <v>7</v>
      </c>
      <c r="H24" s="147">
        <v>408610</v>
      </c>
      <c r="I24" s="219">
        <f t="shared" si="0"/>
        <v>817220</v>
      </c>
      <c r="K24" s="24"/>
      <c r="L24" s="214">
        <f>VLOOKUP(B24:B80,PO!C28:J97,8,0)*F24</f>
        <v>2750</v>
      </c>
    </row>
    <row r="25" spans="1:12" s="59" customFormat="1" ht="17.399999999999999">
      <c r="A25" s="246">
        <v>5</v>
      </c>
      <c r="B25" s="213" t="s">
        <v>100</v>
      </c>
      <c r="C25" s="146" t="s">
        <v>353</v>
      </c>
      <c r="D25" s="218"/>
      <c r="E25" s="329">
        <v>112603649</v>
      </c>
      <c r="F25" s="330">
        <v>7</v>
      </c>
      <c r="G25" s="101" t="s">
        <v>7</v>
      </c>
      <c r="H25" s="147">
        <v>341932</v>
      </c>
      <c r="I25" s="219">
        <f t="shared" si="0"/>
        <v>2393524</v>
      </c>
      <c r="K25" s="24"/>
      <c r="L25" s="214">
        <f>VLOOKUP(B25:B81,PO!C29:J98,8,0)*F25</f>
        <v>8155</v>
      </c>
    </row>
    <row r="26" spans="1:12" s="59" customFormat="1" ht="17.399999999999999">
      <c r="A26" s="246">
        <v>6</v>
      </c>
      <c r="B26" s="213" t="s">
        <v>260</v>
      </c>
      <c r="C26" s="146" t="s">
        <v>353</v>
      </c>
      <c r="D26" s="218"/>
      <c r="E26" s="329" t="s">
        <v>225</v>
      </c>
      <c r="F26" s="330">
        <v>8</v>
      </c>
      <c r="G26" s="101" t="s">
        <v>7</v>
      </c>
      <c r="H26" s="147">
        <v>208338</v>
      </c>
      <c r="I26" s="219">
        <f t="shared" si="0"/>
        <v>1666704</v>
      </c>
      <c r="K26" s="24"/>
      <c r="L26" s="214">
        <f>VLOOKUP(B26:B82,PO!C30:J99,8,0)*F26</f>
        <v>4720</v>
      </c>
    </row>
    <row r="27" spans="1:12" s="59" customFormat="1" ht="17.399999999999999">
      <c r="A27" s="246">
        <v>7</v>
      </c>
      <c r="B27" s="213" t="s">
        <v>101</v>
      </c>
      <c r="C27" s="146" t="s">
        <v>353</v>
      </c>
      <c r="D27" s="218"/>
      <c r="E27" s="329" t="s">
        <v>226</v>
      </c>
      <c r="F27" s="330">
        <v>14</v>
      </c>
      <c r="G27" s="101" t="s">
        <v>7</v>
      </c>
      <c r="H27" s="147">
        <v>394030</v>
      </c>
      <c r="I27" s="219">
        <f t="shared" si="0"/>
        <v>5516420</v>
      </c>
      <c r="K27" s="24"/>
      <c r="L27" s="214">
        <f>VLOOKUP(B27:B83,PO!C31:J100,8,0)*F27</f>
        <v>18620</v>
      </c>
    </row>
    <row r="28" spans="1:12" s="59" customFormat="1" ht="17.399999999999999">
      <c r="A28" s="246">
        <v>8</v>
      </c>
      <c r="B28" s="213" t="s">
        <v>261</v>
      </c>
      <c r="C28" s="146" t="s">
        <v>353</v>
      </c>
      <c r="D28" s="218"/>
      <c r="E28" s="329">
        <v>112603429</v>
      </c>
      <c r="F28" s="330">
        <v>5</v>
      </c>
      <c r="G28" s="101" t="s">
        <v>7</v>
      </c>
      <c r="H28" s="147">
        <v>571830</v>
      </c>
      <c r="I28" s="219">
        <f t="shared" si="0"/>
        <v>2859150</v>
      </c>
      <c r="K28" s="24"/>
      <c r="L28" s="214">
        <f>VLOOKUP(B28:B84,PO!C32:J101,8,0)*F28</f>
        <v>7940</v>
      </c>
    </row>
    <row r="29" spans="1:12" s="59" customFormat="1" ht="17.399999999999999">
      <c r="A29" s="246">
        <v>9</v>
      </c>
      <c r="B29" s="213" t="s">
        <v>244</v>
      </c>
      <c r="C29" s="146" t="s">
        <v>290</v>
      </c>
      <c r="D29" s="218"/>
      <c r="E29" s="329">
        <v>112604604</v>
      </c>
      <c r="F29" s="330">
        <v>50</v>
      </c>
      <c r="G29" s="101" t="s">
        <v>7</v>
      </c>
      <c r="H29" s="147">
        <v>1920</v>
      </c>
      <c r="I29" s="219">
        <f t="shared" si="0"/>
        <v>96000</v>
      </c>
      <c r="K29" s="24"/>
      <c r="L29" s="214">
        <f>VLOOKUP(B29:B85,PO!C33:J102,8,0)*F29</f>
        <v>300</v>
      </c>
    </row>
    <row r="30" spans="1:12" s="59" customFormat="1" ht="17.399999999999999">
      <c r="A30" s="246">
        <v>10</v>
      </c>
      <c r="B30" s="213" t="s">
        <v>164</v>
      </c>
      <c r="C30" s="146" t="s">
        <v>291</v>
      </c>
      <c r="D30" s="218"/>
      <c r="E30" s="329">
        <v>112603662</v>
      </c>
      <c r="F30" s="330">
        <v>18</v>
      </c>
      <c r="G30" s="101" t="s">
        <v>7</v>
      </c>
      <c r="H30" s="147">
        <v>14226</v>
      </c>
      <c r="I30" s="219">
        <f t="shared" si="0"/>
        <v>256068</v>
      </c>
      <c r="K30" s="24"/>
      <c r="L30" s="214">
        <f>VLOOKUP(B30:B105,PO!C34:J103,8,0)*F30</f>
        <v>828</v>
      </c>
    </row>
    <row r="31" spans="1:12" s="59" customFormat="1" ht="17.399999999999999">
      <c r="A31" s="246">
        <v>11</v>
      </c>
      <c r="B31" s="213" t="s">
        <v>262</v>
      </c>
      <c r="C31" s="146" t="s">
        <v>291</v>
      </c>
      <c r="D31" s="218"/>
      <c r="E31" s="329">
        <v>112603660</v>
      </c>
      <c r="F31" s="330">
        <v>10</v>
      </c>
      <c r="G31" s="101" t="s">
        <v>7</v>
      </c>
      <c r="H31" s="147">
        <v>32349</v>
      </c>
      <c r="I31" s="219">
        <f t="shared" si="0"/>
        <v>323490</v>
      </c>
      <c r="K31" s="24"/>
      <c r="L31" s="214">
        <f>VLOOKUP(B31:B106,PO!C35:J104,8,0)*F31</f>
        <v>460</v>
      </c>
    </row>
    <row r="32" spans="1:12" s="59" customFormat="1" ht="17.399999999999999">
      <c r="A32" s="246">
        <v>12</v>
      </c>
      <c r="B32" s="213" t="s">
        <v>203</v>
      </c>
      <c r="C32" s="146" t="s">
        <v>347</v>
      </c>
      <c r="D32" s="218"/>
      <c r="E32" s="329">
        <v>112603667</v>
      </c>
      <c r="F32" s="330">
        <v>30</v>
      </c>
      <c r="G32" s="101" t="s">
        <v>7</v>
      </c>
      <c r="H32" s="147">
        <v>2165</v>
      </c>
      <c r="I32" s="219">
        <f t="shared" si="0"/>
        <v>64950</v>
      </c>
      <c r="K32" s="24"/>
      <c r="L32" s="214">
        <f>VLOOKUP(B32:B107,PO!C36:J105,8,0)*F32</f>
        <v>210</v>
      </c>
    </row>
    <row r="33" spans="1:12" s="59" customFormat="1" ht="17.399999999999999">
      <c r="A33" s="246">
        <v>13</v>
      </c>
      <c r="B33" s="213" t="s">
        <v>152</v>
      </c>
      <c r="C33" s="146" t="s">
        <v>293</v>
      </c>
      <c r="D33" s="218"/>
      <c r="E33" s="329">
        <v>112603662</v>
      </c>
      <c r="F33" s="330">
        <v>10</v>
      </c>
      <c r="G33" s="101" t="s">
        <v>7</v>
      </c>
      <c r="H33" s="147">
        <v>8806</v>
      </c>
      <c r="I33" s="219">
        <f t="shared" si="0"/>
        <v>88060</v>
      </c>
      <c r="K33" s="24"/>
      <c r="L33" s="214">
        <f>VLOOKUP(B33:B108,PO!C37:J106,8,0)*F33</f>
        <v>300</v>
      </c>
    </row>
    <row r="34" spans="1:12" s="59" customFormat="1" ht="17.399999999999999">
      <c r="A34" s="246">
        <v>14</v>
      </c>
      <c r="B34" s="213" t="s">
        <v>263</v>
      </c>
      <c r="C34" s="146" t="s">
        <v>293</v>
      </c>
      <c r="D34" s="218"/>
      <c r="E34" s="329">
        <v>112603660</v>
      </c>
      <c r="F34" s="330">
        <v>10</v>
      </c>
      <c r="G34" s="101" t="s">
        <v>7</v>
      </c>
      <c r="H34" s="147">
        <v>22788</v>
      </c>
      <c r="I34" s="219">
        <f t="shared" si="0"/>
        <v>227880</v>
      </c>
      <c r="K34" s="24"/>
      <c r="L34" s="214">
        <f>VLOOKUP(B34:B109,PO!C38:J107,8,0)*F34</f>
        <v>300</v>
      </c>
    </row>
    <row r="35" spans="1:12" s="59" customFormat="1" ht="17.399999999999999">
      <c r="A35" s="246">
        <v>15</v>
      </c>
      <c r="B35" s="213" t="s">
        <v>264</v>
      </c>
      <c r="C35" s="146" t="s">
        <v>294</v>
      </c>
      <c r="D35" s="218"/>
      <c r="E35" s="329" t="s">
        <v>227</v>
      </c>
      <c r="F35" s="330">
        <v>15</v>
      </c>
      <c r="G35" s="101" t="s">
        <v>7</v>
      </c>
      <c r="H35" s="147">
        <v>29700</v>
      </c>
      <c r="I35" s="219">
        <f t="shared" si="0"/>
        <v>445500</v>
      </c>
      <c r="K35" s="24"/>
      <c r="L35" s="214">
        <f>VLOOKUP(B35:B110,PO!C39:J108,8,0)*F35</f>
        <v>630</v>
      </c>
    </row>
    <row r="36" spans="1:12" s="59" customFormat="1" ht="17.399999999999999">
      <c r="A36" s="246">
        <v>16</v>
      </c>
      <c r="B36" s="213" t="s">
        <v>125</v>
      </c>
      <c r="C36" s="146" t="s">
        <v>295</v>
      </c>
      <c r="D36" s="218"/>
      <c r="E36" s="329">
        <v>112603657</v>
      </c>
      <c r="F36" s="330">
        <v>10</v>
      </c>
      <c r="G36" s="101" t="s">
        <v>7</v>
      </c>
      <c r="H36" s="147">
        <v>40848</v>
      </c>
      <c r="I36" s="219">
        <f t="shared" si="0"/>
        <v>408480</v>
      </c>
      <c r="K36" s="24"/>
      <c r="L36" s="214">
        <f>VLOOKUP(B36:B111,PO!C40:J109,8,0)*F36</f>
        <v>1410</v>
      </c>
    </row>
    <row r="37" spans="1:12" s="59" customFormat="1" ht="17.399999999999999">
      <c r="A37" s="246">
        <v>17</v>
      </c>
      <c r="B37" s="213" t="s">
        <v>265</v>
      </c>
      <c r="C37" s="146" t="s">
        <v>295</v>
      </c>
      <c r="D37" s="218"/>
      <c r="E37" s="329">
        <v>112603665</v>
      </c>
      <c r="F37" s="330">
        <v>5</v>
      </c>
      <c r="G37" s="101" t="s">
        <v>7</v>
      </c>
      <c r="H37" s="147">
        <v>90030</v>
      </c>
      <c r="I37" s="219">
        <f t="shared" si="0"/>
        <v>450150</v>
      </c>
      <c r="K37" s="24"/>
      <c r="L37" s="214">
        <f>VLOOKUP(B37:B112,PO!C41:J110,8,0)*F37</f>
        <v>705</v>
      </c>
    </row>
    <row r="38" spans="1:12" s="59" customFormat="1" ht="17.399999999999999">
      <c r="A38" s="246">
        <v>18</v>
      </c>
      <c r="B38" s="213" t="s">
        <v>266</v>
      </c>
      <c r="C38" s="146" t="s">
        <v>455</v>
      </c>
      <c r="D38" s="218"/>
      <c r="E38" s="329" t="s">
        <v>228</v>
      </c>
      <c r="F38" s="330">
        <v>20</v>
      </c>
      <c r="G38" s="101" t="s">
        <v>7</v>
      </c>
      <c r="H38" s="147">
        <v>21919</v>
      </c>
      <c r="I38" s="219">
        <f t="shared" si="0"/>
        <v>438380</v>
      </c>
      <c r="K38" s="24"/>
      <c r="L38" s="214">
        <f>VLOOKUP(B38:B113,PO!C42:J111,8,0)*F38</f>
        <v>380</v>
      </c>
    </row>
    <row r="39" spans="1:12" s="59" customFormat="1" ht="17.399999999999999">
      <c r="A39" s="246">
        <v>19</v>
      </c>
      <c r="B39" s="213" t="s">
        <v>267</v>
      </c>
      <c r="C39" s="146" t="s">
        <v>291</v>
      </c>
      <c r="D39" s="218"/>
      <c r="E39" s="329">
        <v>112603650</v>
      </c>
      <c r="F39" s="330">
        <v>15</v>
      </c>
      <c r="G39" s="101" t="s">
        <v>7</v>
      </c>
      <c r="H39" s="147">
        <v>37724</v>
      </c>
      <c r="I39" s="219">
        <f t="shared" si="0"/>
        <v>565860</v>
      </c>
      <c r="K39" s="24"/>
      <c r="L39" s="214">
        <f>VLOOKUP(B39:B114,PO!C43:J112,8,0)*F39</f>
        <v>645</v>
      </c>
    </row>
    <row r="40" spans="1:12" s="59" customFormat="1" ht="17.399999999999999">
      <c r="A40" s="246">
        <v>20</v>
      </c>
      <c r="B40" s="213" t="s">
        <v>268</v>
      </c>
      <c r="C40" s="146" t="s">
        <v>294</v>
      </c>
      <c r="D40" s="218"/>
      <c r="E40" s="329" t="s">
        <v>229</v>
      </c>
      <c r="F40" s="330">
        <v>16</v>
      </c>
      <c r="G40" s="101" t="s">
        <v>7</v>
      </c>
      <c r="H40" s="147">
        <v>25747</v>
      </c>
      <c r="I40" s="219">
        <f t="shared" si="0"/>
        <v>411952</v>
      </c>
      <c r="K40" s="24"/>
      <c r="L40" s="214">
        <f>VLOOKUP(B40:B115,PO!C44:J113,8,0)*F40</f>
        <v>592</v>
      </c>
    </row>
    <row r="41" spans="1:12" s="59" customFormat="1" ht="17.399999999999999">
      <c r="A41" s="246">
        <v>21</v>
      </c>
      <c r="B41" s="213" t="s">
        <v>204</v>
      </c>
      <c r="C41" s="146" t="s">
        <v>374</v>
      </c>
      <c r="D41" s="218"/>
      <c r="E41" s="329">
        <v>112603662</v>
      </c>
      <c r="F41" s="330">
        <v>50</v>
      </c>
      <c r="G41" s="101" t="s">
        <v>7</v>
      </c>
      <c r="H41" s="147">
        <v>1387</v>
      </c>
      <c r="I41" s="219">
        <f t="shared" si="0"/>
        <v>69350</v>
      </c>
      <c r="K41" s="24"/>
      <c r="L41" s="214">
        <f>VLOOKUP(B41:B116,PO!C45:J114,8,0)*F41</f>
        <v>150</v>
      </c>
    </row>
    <row r="42" spans="1:12" s="59" customFormat="1" ht="17.399999999999999">
      <c r="A42" s="246">
        <v>22</v>
      </c>
      <c r="B42" s="213" t="s">
        <v>205</v>
      </c>
      <c r="C42" s="146" t="s">
        <v>299</v>
      </c>
      <c r="D42" s="218"/>
      <c r="E42" s="329">
        <v>112603646</v>
      </c>
      <c r="F42" s="330">
        <v>30</v>
      </c>
      <c r="G42" s="101" t="s">
        <v>7</v>
      </c>
      <c r="H42" s="147">
        <v>4846</v>
      </c>
      <c r="I42" s="219">
        <f t="shared" si="0"/>
        <v>145380</v>
      </c>
      <c r="K42" s="24"/>
      <c r="L42" s="214">
        <f>VLOOKUP(B42:B117,PO!C46:J115,8,0)*F42</f>
        <v>390</v>
      </c>
    </row>
    <row r="43" spans="1:12" s="59" customFormat="1" ht="17.399999999999999">
      <c r="A43" s="246">
        <v>23</v>
      </c>
      <c r="B43" s="213" t="s">
        <v>144</v>
      </c>
      <c r="C43" s="146" t="s">
        <v>361</v>
      </c>
      <c r="D43" s="218"/>
      <c r="E43" s="329" t="s">
        <v>230</v>
      </c>
      <c r="F43" s="330">
        <v>30</v>
      </c>
      <c r="G43" s="101" t="s">
        <v>7</v>
      </c>
      <c r="H43" s="147">
        <v>4304</v>
      </c>
      <c r="I43" s="219">
        <f t="shared" si="0"/>
        <v>129120</v>
      </c>
      <c r="K43" s="24"/>
      <c r="L43" s="214">
        <f>VLOOKUP(B43:B118,PO!C47:J116,8,0)*F43</f>
        <v>390</v>
      </c>
    </row>
    <row r="44" spans="1:12" s="59" customFormat="1" ht="17.399999999999999">
      <c r="A44" s="246">
        <v>24</v>
      </c>
      <c r="B44" s="213" t="s">
        <v>269</v>
      </c>
      <c r="C44" s="146" t="s">
        <v>294</v>
      </c>
      <c r="D44" s="218"/>
      <c r="E44" s="329">
        <v>112603660</v>
      </c>
      <c r="F44" s="330">
        <v>6</v>
      </c>
      <c r="G44" s="101" t="s">
        <v>7</v>
      </c>
      <c r="H44" s="147">
        <v>35624</v>
      </c>
      <c r="I44" s="219">
        <f t="shared" si="0"/>
        <v>213744</v>
      </c>
      <c r="K44" s="24"/>
      <c r="L44" s="214">
        <f>VLOOKUP(B44:B119,PO!C48:J117,8,0)*F44</f>
        <v>378</v>
      </c>
    </row>
    <row r="45" spans="1:12" s="59" customFormat="1" ht="17.399999999999999">
      <c r="A45" s="246">
        <v>25</v>
      </c>
      <c r="B45" s="213" t="s">
        <v>145</v>
      </c>
      <c r="C45" s="146" t="s">
        <v>295</v>
      </c>
      <c r="D45" s="218"/>
      <c r="E45" s="329" t="s">
        <v>231</v>
      </c>
      <c r="F45" s="330">
        <v>6</v>
      </c>
      <c r="G45" s="101" t="s">
        <v>7</v>
      </c>
      <c r="H45" s="147">
        <v>49944</v>
      </c>
      <c r="I45" s="219">
        <f t="shared" si="0"/>
        <v>299664</v>
      </c>
      <c r="K45" s="24"/>
      <c r="L45" s="214">
        <f>VLOOKUP(B45:B120,PO!C49:J118,8,0)*F45</f>
        <v>996</v>
      </c>
    </row>
    <row r="46" spans="1:12" s="59" customFormat="1" ht="17.399999999999999">
      <c r="A46" s="246">
        <v>26</v>
      </c>
      <c r="B46" s="213" t="s">
        <v>270</v>
      </c>
      <c r="C46" s="146" t="s">
        <v>295</v>
      </c>
      <c r="D46" s="218"/>
      <c r="E46" s="329">
        <v>112603656</v>
      </c>
      <c r="F46" s="330">
        <v>3</v>
      </c>
      <c r="G46" s="101" t="s">
        <v>7</v>
      </c>
      <c r="H46" s="147">
        <v>98850</v>
      </c>
      <c r="I46" s="219">
        <f t="shared" si="0"/>
        <v>296550</v>
      </c>
      <c r="K46" s="24"/>
      <c r="L46" s="214">
        <f>VLOOKUP(B46:B121,PO!C50:J119,8,0)*F46</f>
        <v>498</v>
      </c>
    </row>
    <row r="47" spans="1:12" s="59" customFormat="1" ht="17.399999999999999">
      <c r="A47" s="246">
        <v>27</v>
      </c>
      <c r="B47" s="213" t="s">
        <v>271</v>
      </c>
      <c r="C47" s="146" t="s">
        <v>455</v>
      </c>
      <c r="D47" s="218"/>
      <c r="E47" s="329">
        <v>112603660</v>
      </c>
      <c r="F47" s="330">
        <v>10</v>
      </c>
      <c r="G47" s="101" t="s">
        <v>7</v>
      </c>
      <c r="H47" s="147">
        <v>21853</v>
      </c>
      <c r="I47" s="219">
        <f t="shared" si="0"/>
        <v>218530</v>
      </c>
      <c r="K47" s="24"/>
      <c r="L47" s="214">
        <f>VLOOKUP(B47:B122,PO!C51:J120,8,0)*F47</f>
        <v>210</v>
      </c>
    </row>
    <row r="48" spans="1:12" s="59" customFormat="1" ht="17.399999999999999">
      <c r="A48" s="246">
        <v>28</v>
      </c>
      <c r="B48" s="213" t="s">
        <v>272</v>
      </c>
      <c r="C48" s="146" t="s">
        <v>293</v>
      </c>
      <c r="D48" s="218"/>
      <c r="E48" s="329">
        <v>112603660</v>
      </c>
      <c r="F48" s="330">
        <v>6</v>
      </c>
      <c r="G48" s="101" t="s">
        <v>7</v>
      </c>
      <c r="H48" s="147">
        <v>23451</v>
      </c>
      <c r="I48" s="219">
        <f t="shared" si="0"/>
        <v>140706</v>
      </c>
      <c r="K48" s="24"/>
      <c r="L48" s="214">
        <f>VLOOKUP(B48:B123,PO!C52:J121,8,0)*F48</f>
        <v>168</v>
      </c>
    </row>
    <row r="49" spans="1:12" s="59" customFormat="1" ht="17.399999999999999">
      <c r="A49" s="246">
        <v>29</v>
      </c>
      <c r="B49" s="213" t="s">
        <v>245</v>
      </c>
      <c r="C49" s="146" t="s">
        <v>467</v>
      </c>
      <c r="D49" s="218"/>
      <c r="E49" s="329">
        <v>112603662</v>
      </c>
      <c r="F49" s="330">
        <v>12</v>
      </c>
      <c r="G49" s="101" t="s">
        <v>7</v>
      </c>
      <c r="H49" s="147">
        <v>12737</v>
      </c>
      <c r="I49" s="219">
        <f t="shared" si="0"/>
        <v>152844</v>
      </c>
      <c r="K49" s="24"/>
      <c r="L49" s="214">
        <f>VLOOKUP(B49:B124,PO!C53:J122,8,0)*F49</f>
        <v>456</v>
      </c>
    </row>
    <row r="50" spans="1:12" s="59" customFormat="1" ht="17.399999999999999">
      <c r="A50" s="246">
        <v>30</v>
      </c>
      <c r="B50" s="213" t="s">
        <v>273</v>
      </c>
      <c r="C50" s="146" t="s">
        <v>467</v>
      </c>
      <c r="D50" s="218"/>
      <c r="E50" s="329">
        <v>112604331</v>
      </c>
      <c r="F50" s="330">
        <v>6</v>
      </c>
      <c r="G50" s="101" t="s">
        <v>7</v>
      </c>
      <c r="H50" s="147">
        <v>29125</v>
      </c>
      <c r="I50" s="219">
        <f t="shared" si="0"/>
        <v>174750</v>
      </c>
      <c r="K50" s="24"/>
      <c r="L50" s="214">
        <f>VLOOKUP(B50:B125,PO!C54:J123,8,0)*F50</f>
        <v>228</v>
      </c>
    </row>
    <row r="51" spans="1:12" s="59" customFormat="1" ht="17.399999999999999">
      <c r="A51" s="246">
        <v>31</v>
      </c>
      <c r="B51" s="213" t="s">
        <v>274</v>
      </c>
      <c r="C51" s="146" t="s">
        <v>294</v>
      </c>
      <c r="D51" s="218"/>
      <c r="E51" s="329">
        <v>112603656</v>
      </c>
      <c r="F51" s="330">
        <v>7</v>
      </c>
      <c r="G51" s="101" t="s">
        <v>7</v>
      </c>
      <c r="H51" s="147">
        <v>20887</v>
      </c>
      <c r="I51" s="219">
        <f t="shared" si="0"/>
        <v>146209</v>
      </c>
      <c r="K51" s="24"/>
      <c r="L51" s="214">
        <f>VLOOKUP(B51:B126,PO!C55:J124,8,0)*F51</f>
        <v>217</v>
      </c>
    </row>
    <row r="52" spans="1:12" s="59" customFormat="1" ht="17.399999999999999">
      <c r="A52" s="246">
        <v>32</v>
      </c>
      <c r="B52" s="213" t="s">
        <v>275</v>
      </c>
      <c r="C52" s="146" t="s">
        <v>308</v>
      </c>
      <c r="D52" s="218"/>
      <c r="E52" s="329">
        <v>112603660</v>
      </c>
      <c r="F52" s="330">
        <v>10</v>
      </c>
      <c r="G52" s="101" t="s">
        <v>7</v>
      </c>
      <c r="H52" s="147">
        <v>17845</v>
      </c>
      <c r="I52" s="219">
        <f t="shared" si="0"/>
        <v>178450</v>
      </c>
      <c r="K52" s="24"/>
      <c r="L52" s="214">
        <f>VLOOKUP(B52:B127,PO!C56:J125,8,0)*F52</f>
        <v>260</v>
      </c>
    </row>
    <row r="53" spans="1:12" s="59" customFormat="1" ht="17.399999999999999">
      <c r="A53" s="246">
        <v>33</v>
      </c>
      <c r="B53" s="213" t="s">
        <v>201</v>
      </c>
      <c r="C53" s="146" t="s">
        <v>291</v>
      </c>
      <c r="D53" s="218"/>
      <c r="E53" s="329">
        <v>112603655</v>
      </c>
      <c r="F53" s="330">
        <v>10</v>
      </c>
      <c r="G53" s="101" t="s">
        <v>7</v>
      </c>
      <c r="H53" s="147">
        <v>23547</v>
      </c>
      <c r="I53" s="219">
        <f t="shared" si="0"/>
        <v>235470</v>
      </c>
      <c r="K53" s="24"/>
      <c r="L53" s="214">
        <f>VLOOKUP(B53:B128,PO!C57:J126,8,0)*F53</f>
        <v>730</v>
      </c>
    </row>
    <row r="54" spans="1:12" s="59" customFormat="1" ht="17.399999999999999">
      <c r="A54" s="246">
        <v>34</v>
      </c>
      <c r="B54" s="213" t="s">
        <v>176</v>
      </c>
      <c r="C54" s="146" t="s">
        <v>374</v>
      </c>
      <c r="D54" s="218"/>
      <c r="E54" s="329">
        <v>112603662</v>
      </c>
      <c r="F54" s="330">
        <v>10</v>
      </c>
      <c r="G54" s="101" t="s">
        <v>7</v>
      </c>
      <c r="H54" s="147">
        <v>1387</v>
      </c>
      <c r="I54" s="219">
        <f t="shared" si="0"/>
        <v>13870</v>
      </c>
      <c r="K54" s="24"/>
      <c r="L54" s="214">
        <f>VLOOKUP(B54:B129,PO!C58:J127,8,0)*F54</f>
        <v>30</v>
      </c>
    </row>
    <row r="55" spans="1:12" s="59" customFormat="1" ht="17.399999999999999">
      <c r="A55" s="246">
        <v>35</v>
      </c>
      <c r="B55" s="213" t="s">
        <v>179</v>
      </c>
      <c r="C55" s="146" t="s">
        <v>374</v>
      </c>
      <c r="D55" s="218"/>
      <c r="E55" s="329">
        <v>112603662</v>
      </c>
      <c r="F55" s="330">
        <v>10</v>
      </c>
      <c r="G55" s="101" t="s">
        <v>7</v>
      </c>
      <c r="H55" s="147">
        <v>1387</v>
      </c>
      <c r="I55" s="219">
        <f t="shared" si="0"/>
        <v>13870</v>
      </c>
      <c r="K55" s="24"/>
      <c r="L55" s="214">
        <f>VLOOKUP(B55:B130,PO!C59:J128,8,0)*F55</f>
        <v>30</v>
      </c>
    </row>
    <row r="56" spans="1:12" s="59" customFormat="1" ht="17.399999999999999">
      <c r="A56" s="246">
        <v>36</v>
      </c>
      <c r="B56" s="213" t="s">
        <v>237</v>
      </c>
      <c r="C56" s="146" t="s">
        <v>295</v>
      </c>
      <c r="D56" s="218"/>
      <c r="E56" s="329">
        <v>112603655</v>
      </c>
      <c r="F56" s="330">
        <v>15</v>
      </c>
      <c r="G56" s="101" t="s">
        <v>7</v>
      </c>
      <c r="H56" s="147">
        <v>40184</v>
      </c>
      <c r="I56" s="219">
        <f t="shared" si="0"/>
        <v>602760</v>
      </c>
      <c r="K56" s="24"/>
      <c r="L56" s="214">
        <f>VLOOKUP(B56:B131,PO!C60:J129,8,0)*F56</f>
        <v>2025</v>
      </c>
    </row>
    <row r="57" spans="1:12" s="59" customFormat="1" ht="17.399999999999999">
      <c r="A57" s="246">
        <v>37</v>
      </c>
      <c r="B57" s="213" t="s">
        <v>199</v>
      </c>
      <c r="C57" s="146" t="s">
        <v>291</v>
      </c>
      <c r="D57" s="218"/>
      <c r="E57" s="329">
        <v>112603620</v>
      </c>
      <c r="F57" s="330">
        <v>10</v>
      </c>
      <c r="G57" s="101" t="s">
        <v>7</v>
      </c>
      <c r="H57" s="147">
        <v>7048</v>
      </c>
      <c r="I57" s="219">
        <f t="shared" si="0"/>
        <v>70480</v>
      </c>
      <c r="K57" s="24"/>
      <c r="L57" s="214">
        <f>VLOOKUP(B57:B132,PO!C61:J130,8,0)*F57</f>
        <v>230</v>
      </c>
    </row>
    <row r="58" spans="1:12" s="59" customFormat="1" ht="17.399999999999999">
      <c r="A58" s="246">
        <v>38</v>
      </c>
      <c r="B58" s="213" t="s">
        <v>246</v>
      </c>
      <c r="C58" s="146" t="s">
        <v>291</v>
      </c>
      <c r="D58" s="218"/>
      <c r="E58" s="329">
        <v>112603620</v>
      </c>
      <c r="F58" s="330">
        <v>10</v>
      </c>
      <c r="G58" s="101" t="s">
        <v>7</v>
      </c>
      <c r="H58" s="147">
        <v>16853</v>
      </c>
      <c r="I58" s="219">
        <f t="shared" si="0"/>
        <v>168530</v>
      </c>
      <c r="K58" s="24"/>
      <c r="L58" s="214">
        <f>VLOOKUP(B58:B133,PO!C62:J131,8,0)*F58</f>
        <v>550</v>
      </c>
    </row>
    <row r="59" spans="1:12" s="59" customFormat="1" ht="17.399999999999999">
      <c r="A59" s="246">
        <v>39</v>
      </c>
      <c r="B59" s="213" t="s">
        <v>247</v>
      </c>
      <c r="C59" s="146" t="s">
        <v>443</v>
      </c>
      <c r="D59" s="218"/>
      <c r="E59" s="329">
        <v>112603662</v>
      </c>
      <c r="F59" s="330">
        <v>15</v>
      </c>
      <c r="G59" s="101" t="s">
        <v>7</v>
      </c>
      <c r="H59" s="147">
        <v>12717</v>
      </c>
      <c r="I59" s="219">
        <f t="shared" si="0"/>
        <v>190755</v>
      </c>
      <c r="K59" s="24"/>
      <c r="L59" s="214">
        <f>VLOOKUP(B59:B134,PO!C63:J132,8,0)*F59</f>
        <v>555</v>
      </c>
    </row>
    <row r="60" spans="1:12" s="59" customFormat="1" ht="17.399999999999999">
      <c r="A60" s="246">
        <v>40</v>
      </c>
      <c r="B60" s="213" t="s">
        <v>238</v>
      </c>
      <c r="C60" s="146" t="s">
        <v>293</v>
      </c>
      <c r="D60" s="218"/>
      <c r="E60" s="329">
        <v>112603662</v>
      </c>
      <c r="F60" s="330">
        <v>15</v>
      </c>
      <c r="G60" s="101" t="s">
        <v>7</v>
      </c>
      <c r="H60" s="147">
        <v>6404</v>
      </c>
      <c r="I60" s="219">
        <f t="shared" si="0"/>
        <v>96060</v>
      </c>
      <c r="K60" s="24"/>
      <c r="L60" s="214">
        <f>VLOOKUP(B60:B135,PO!C64:J133,8,0)*F60</f>
        <v>300</v>
      </c>
    </row>
    <row r="61" spans="1:12" s="59" customFormat="1" ht="17.399999999999999">
      <c r="A61" s="246">
        <v>41</v>
      </c>
      <c r="B61" s="213" t="s">
        <v>239</v>
      </c>
      <c r="C61" s="146" t="s">
        <v>294</v>
      </c>
      <c r="D61" s="218"/>
      <c r="E61" s="329">
        <v>112603662</v>
      </c>
      <c r="F61" s="330">
        <v>15</v>
      </c>
      <c r="G61" s="101" t="s">
        <v>7</v>
      </c>
      <c r="H61" s="147">
        <v>8382</v>
      </c>
      <c r="I61" s="219">
        <f t="shared" si="0"/>
        <v>125730</v>
      </c>
      <c r="K61" s="24"/>
      <c r="L61" s="214">
        <f>VLOOKUP(B61:B136,PO!C65:J134,8,0)*F61</f>
        <v>390</v>
      </c>
    </row>
    <row r="62" spans="1:12" s="59" customFormat="1" ht="17.399999999999999">
      <c r="A62" s="246">
        <v>42</v>
      </c>
      <c r="B62" s="213" t="s">
        <v>146</v>
      </c>
      <c r="C62" s="146" t="s">
        <v>295</v>
      </c>
      <c r="D62" s="218"/>
      <c r="E62" s="329">
        <v>112603663</v>
      </c>
      <c r="F62" s="330">
        <v>15</v>
      </c>
      <c r="G62" s="101" t="s">
        <v>7</v>
      </c>
      <c r="H62" s="147">
        <v>47464</v>
      </c>
      <c r="I62" s="219">
        <f t="shared" si="0"/>
        <v>711960</v>
      </c>
      <c r="K62" s="24"/>
      <c r="L62" s="214">
        <f>VLOOKUP(B62:B137,PO!C66:J135,8,0)*F62</f>
        <v>2370</v>
      </c>
    </row>
    <row r="63" spans="1:12" s="59" customFormat="1" ht="17.399999999999999">
      <c r="A63" s="246">
        <v>43</v>
      </c>
      <c r="B63" s="213" t="s">
        <v>147</v>
      </c>
      <c r="C63" s="146" t="s">
        <v>455</v>
      </c>
      <c r="D63" s="218"/>
      <c r="E63" s="329">
        <v>112603663</v>
      </c>
      <c r="F63" s="330">
        <v>13</v>
      </c>
      <c r="G63" s="101" t="s">
        <v>7</v>
      </c>
      <c r="H63" s="147">
        <v>5445</v>
      </c>
      <c r="I63" s="219">
        <f t="shared" si="0"/>
        <v>70785</v>
      </c>
      <c r="K63" s="24"/>
      <c r="L63" s="214">
        <f>VLOOKUP(B63:B138,PO!C67:J136,8,0)*F63</f>
        <v>221</v>
      </c>
    </row>
    <row r="64" spans="1:12" s="59" customFormat="1" ht="17.399999999999999">
      <c r="A64" s="246">
        <v>44</v>
      </c>
      <c r="B64" s="213" t="s">
        <v>148</v>
      </c>
      <c r="C64" s="146" t="s">
        <v>291</v>
      </c>
      <c r="D64" s="218"/>
      <c r="E64" s="329" t="s">
        <v>232</v>
      </c>
      <c r="F64" s="330">
        <v>10</v>
      </c>
      <c r="G64" s="101" t="s">
        <v>7</v>
      </c>
      <c r="H64" s="147">
        <v>13225</v>
      </c>
      <c r="I64" s="219">
        <f t="shared" si="0"/>
        <v>132250</v>
      </c>
      <c r="K64" s="24"/>
      <c r="L64" s="214">
        <f>VLOOKUP(B64:B139,PO!C68:J137,8,0)*F64</f>
        <v>410</v>
      </c>
    </row>
    <row r="65" spans="1:14" s="59" customFormat="1" ht="17.399999999999999">
      <c r="A65" s="246">
        <v>45</v>
      </c>
      <c r="B65" s="213" t="s">
        <v>206</v>
      </c>
      <c r="C65" s="146" t="s">
        <v>467</v>
      </c>
      <c r="D65" s="218"/>
      <c r="E65" s="329">
        <v>112604328</v>
      </c>
      <c r="F65" s="330">
        <v>10</v>
      </c>
      <c r="G65" s="101" t="s">
        <v>7</v>
      </c>
      <c r="H65" s="147">
        <v>12202</v>
      </c>
      <c r="I65" s="219">
        <f t="shared" si="0"/>
        <v>122020</v>
      </c>
      <c r="K65" s="24"/>
      <c r="L65" s="214">
        <f>VLOOKUP(B65:B140,PO!C69:J138,8,0)*F65</f>
        <v>370</v>
      </c>
    </row>
    <row r="66" spans="1:14" s="59" customFormat="1" ht="17.399999999999999">
      <c r="A66" s="246">
        <v>46</v>
      </c>
      <c r="B66" s="213" t="s">
        <v>149</v>
      </c>
      <c r="C66" s="146" t="s">
        <v>291</v>
      </c>
      <c r="D66" s="218"/>
      <c r="E66" s="329">
        <v>112603663</v>
      </c>
      <c r="F66" s="330">
        <v>15</v>
      </c>
      <c r="G66" s="101" t="s">
        <v>7</v>
      </c>
      <c r="H66" s="147">
        <v>15040</v>
      </c>
      <c r="I66" s="219">
        <f t="shared" si="0"/>
        <v>225600</v>
      </c>
      <c r="K66" s="24"/>
      <c r="L66" s="214">
        <f>VLOOKUP(B66:B141,PO!C70:J139,8,0)*F66</f>
        <v>720</v>
      </c>
    </row>
    <row r="67" spans="1:14" s="59" customFormat="1" ht="17.399999999999999">
      <c r="A67" s="246">
        <v>47</v>
      </c>
      <c r="B67" s="213" t="s">
        <v>150</v>
      </c>
      <c r="C67" s="146" t="s">
        <v>294</v>
      </c>
      <c r="D67" s="218"/>
      <c r="E67" s="329" t="s">
        <v>233</v>
      </c>
      <c r="F67" s="330">
        <v>19</v>
      </c>
      <c r="G67" s="101" t="s">
        <v>7</v>
      </c>
      <c r="H67" s="147">
        <v>14140</v>
      </c>
      <c r="I67" s="219">
        <f t="shared" si="0"/>
        <v>268660</v>
      </c>
      <c r="K67" s="24"/>
      <c r="L67" s="214">
        <f>VLOOKUP(B67:B142,PO!C71:J140,8,0)*F67</f>
        <v>855</v>
      </c>
    </row>
    <row r="68" spans="1:14" s="59" customFormat="1" ht="17.399999999999999">
      <c r="A68" s="246">
        <v>48</v>
      </c>
      <c r="B68" s="213" t="s">
        <v>200</v>
      </c>
      <c r="C68" s="146" t="s">
        <v>293</v>
      </c>
      <c r="D68" s="218"/>
      <c r="E68" s="329" t="s">
        <v>234</v>
      </c>
      <c r="F68" s="330">
        <v>12</v>
      </c>
      <c r="G68" s="101" t="s">
        <v>7</v>
      </c>
      <c r="H68" s="147">
        <v>9087</v>
      </c>
      <c r="I68" s="219">
        <f t="shared" si="0"/>
        <v>109044</v>
      </c>
      <c r="K68" s="24"/>
      <c r="L68" s="214">
        <f>VLOOKUP(B68:B143,PO!C72:J141,8,0)*F68</f>
        <v>348</v>
      </c>
    </row>
    <row r="69" spans="1:14" s="59" customFormat="1" ht="17.399999999999999">
      <c r="A69" s="246">
        <v>49</v>
      </c>
      <c r="B69" s="213" t="s">
        <v>151</v>
      </c>
      <c r="C69" s="146" t="s">
        <v>293</v>
      </c>
      <c r="D69" s="218"/>
      <c r="E69" s="329">
        <v>112604328</v>
      </c>
      <c r="F69" s="330">
        <v>5</v>
      </c>
      <c r="G69" s="101" t="s">
        <v>7</v>
      </c>
      <c r="H69" s="147">
        <v>6580</v>
      </c>
      <c r="I69" s="219">
        <f t="shared" si="0"/>
        <v>32900</v>
      </c>
      <c r="K69" s="24"/>
      <c r="L69" s="214">
        <f>VLOOKUP(B69:B144,PO!C73:J142,8,0)*F69</f>
        <v>105</v>
      </c>
    </row>
    <row r="70" spans="1:14" s="59" customFormat="1" ht="17.399999999999999">
      <c r="A70" s="246">
        <v>50</v>
      </c>
      <c r="B70" s="213" t="s">
        <v>207</v>
      </c>
      <c r="C70" s="146" t="s">
        <v>294</v>
      </c>
      <c r="D70" s="218"/>
      <c r="E70" s="329">
        <v>112604328</v>
      </c>
      <c r="F70" s="330">
        <v>10</v>
      </c>
      <c r="G70" s="101" t="s">
        <v>7</v>
      </c>
      <c r="H70" s="147">
        <v>11470</v>
      </c>
      <c r="I70" s="219">
        <f t="shared" si="0"/>
        <v>114700</v>
      </c>
      <c r="K70" s="24"/>
      <c r="L70" s="214">
        <f>VLOOKUP(B70:B145,PO!C74:J143,8,0)*F70</f>
        <v>360</v>
      </c>
    </row>
    <row r="71" spans="1:14" s="59" customFormat="1" ht="17.399999999999999">
      <c r="A71" s="246">
        <v>51</v>
      </c>
      <c r="B71" s="213" t="s">
        <v>276</v>
      </c>
      <c r="C71" s="146" t="s">
        <v>294</v>
      </c>
      <c r="D71" s="218"/>
      <c r="E71" s="329">
        <v>112603650</v>
      </c>
      <c r="F71" s="330">
        <v>10</v>
      </c>
      <c r="G71" s="101" t="s">
        <v>7</v>
      </c>
      <c r="H71" s="147">
        <v>30429</v>
      </c>
      <c r="I71" s="219">
        <f t="shared" si="0"/>
        <v>304290</v>
      </c>
      <c r="K71" s="24"/>
      <c r="L71" s="214">
        <f>VLOOKUP(B71:B146,PO!C75:J144,8,0)*F71</f>
        <v>430</v>
      </c>
    </row>
    <row r="72" spans="1:14" s="59" customFormat="1" ht="17.399999999999999">
      <c r="A72" s="246">
        <v>52</v>
      </c>
      <c r="B72" s="213" t="s">
        <v>277</v>
      </c>
      <c r="C72" s="146" t="s">
        <v>294</v>
      </c>
      <c r="D72" s="218"/>
      <c r="E72" s="329">
        <v>112603658</v>
      </c>
      <c r="F72" s="330">
        <v>10</v>
      </c>
      <c r="G72" s="101" t="s">
        <v>7</v>
      </c>
      <c r="H72" s="147">
        <v>26286</v>
      </c>
      <c r="I72" s="219">
        <f t="shared" si="0"/>
        <v>262860</v>
      </c>
      <c r="K72" s="24"/>
      <c r="L72" s="214">
        <f>VLOOKUP(B72:B147,PO!C76:J145,8,0)*F72</f>
        <v>380</v>
      </c>
    </row>
    <row r="73" spans="1:14" s="59" customFormat="1" ht="17.399999999999999">
      <c r="A73" s="246">
        <v>53</v>
      </c>
      <c r="B73" s="213" t="s">
        <v>278</v>
      </c>
      <c r="C73" s="146" t="s">
        <v>294</v>
      </c>
      <c r="D73" s="218"/>
      <c r="E73" s="329">
        <v>112604331</v>
      </c>
      <c r="F73" s="330">
        <v>6</v>
      </c>
      <c r="G73" s="101" t="s">
        <v>7</v>
      </c>
      <c r="H73" s="147">
        <v>33918</v>
      </c>
      <c r="I73" s="219">
        <f t="shared" si="0"/>
        <v>203508</v>
      </c>
      <c r="K73" s="24"/>
      <c r="L73" s="214">
        <f>VLOOKUP(B73:B148,PO!C77:J146,8,0)*F73</f>
        <v>342</v>
      </c>
    </row>
    <row r="74" spans="1:14" s="59" customFormat="1" ht="17.399999999999999">
      <c r="A74" s="246">
        <v>54</v>
      </c>
      <c r="B74" s="213" t="s">
        <v>279</v>
      </c>
      <c r="C74" s="146" t="s">
        <v>455</v>
      </c>
      <c r="D74" s="218"/>
      <c r="E74" s="329">
        <v>112604331</v>
      </c>
      <c r="F74" s="330">
        <v>6</v>
      </c>
      <c r="G74" s="101" t="s">
        <v>7</v>
      </c>
      <c r="H74" s="147">
        <v>23134</v>
      </c>
      <c r="I74" s="219">
        <f t="shared" si="0"/>
        <v>138804</v>
      </c>
      <c r="K74" s="24"/>
      <c r="L74" s="214">
        <f>VLOOKUP(B74:B149,PO!C78:J147,8,0)*F74</f>
        <v>138</v>
      </c>
    </row>
    <row r="75" spans="1:14" s="59" customFormat="1" ht="17.399999999999999">
      <c r="A75" s="246">
        <v>55</v>
      </c>
      <c r="B75" s="213" t="s">
        <v>280</v>
      </c>
      <c r="C75" s="146" t="s">
        <v>291</v>
      </c>
      <c r="D75" s="218"/>
      <c r="E75" s="329">
        <v>112604331</v>
      </c>
      <c r="F75" s="330">
        <v>6</v>
      </c>
      <c r="G75" s="101" t="s">
        <v>7</v>
      </c>
      <c r="H75" s="147">
        <v>43794</v>
      </c>
      <c r="I75" s="219">
        <f t="shared" si="0"/>
        <v>262764</v>
      </c>
      <c r="K75" s="24"/>
      <c r="L75" s="214">
        <f>VLOOKUP(B75:B150,PO!C79:J148,8,0)*F75</f>
        <v>384</v>
      </c>
    </row>
    <row r="76" spans="1:14" s="59" customFormat="1" ht="17.399999999999999">
      <c r="A76" s="246">
        <v>56</v>
      </c>
      <c r="B76" s="213" t="s">
        <v>281</v>
      </c>
      <c r="C76" s="146" t="s">
        <v>293</v>
      </c>
      <c r="D76" s="218"/>
      <c r="E76" s="329">
        <v>112604331</v>
      </c>
      <c r="F76" s="330">
        <v>6</v>
      </c>
      <c r="G76" s="101" t="s">
        <v>7</v>
      </c>
      <c r="H76" s="147">
        <v>29592</v>
      </c>
      <c r="I76" s="219">
        <f t="shared" si="0"/>
        <v>177552</v>
      </c>
      <c r="K76" s="24"/>
      <c r="L76" s="214">
        <f>VLOOKUP(B76:B151,PO!C80:J149,8,0)*F76</f>
        <v>240</v>
      </c>
    </row>
    <row r="77" spans="1:14" s="59" customFormat="1" ht="17.399999999999999">
      <c r="A77" s="246">
        <v>57</v>
      </c>
      <c r="B77" s="287" t="s">
        <v>282</v>
      </c>
      <c r="C77" s="146" t="s">
        <v>467</v>
      </c>
      <c r="D77" s="218"/>
      <c r="E77" s="329">
        <v>112604331</v>
      </c>
      <c r="F77" s="330">
        <v>6</v>
      </c>
      <c r="G77" s="101" t="s">
        <v>7</v>
      </c>
      <c r="H77" s="147">
        <v>25395</v>
      </c>
      <c r="I77" s="219">
        <f t="shared" si="0"/>
        <v>152370</v>
      </c>
      <c r="K77" s="24"/>
      <c r="L77" s="214">
        <f>VLOOKUP(B77:B152,PO!C81:J150,8,0)*F77</f>
        <v>162</v>
      </c>
    </row>
    <row r="78" spans="1:14" s="72" customFormat="1" thickBot="1">
      <c r="A78" s="383" t="s">
        <v>51</v>
      </c>
      <c r="B78" s="384"/>
      <c r="C78" s="384"/>
      <c r="D78" s="384"/>
      <c r="E78" s="385"/>
      <c r="F78" s="200">
        <f>SUM(F21:F77)</f>
        <v>706</v>
      </c>
      <c r="G78" s="199" t="s">
        <v>7</v>
      </c>
      <c r="H78" s="201"/>
      <c r="I78" s="202">
        <f>SUM(I21:I77)</f>
        <v>29511940</v>
      </c>
      <c r="K78" s="148"/>
      <c r="L78" s="214"/>
      <c r="M78" s="245">
        <f>I78-PO!I82</f>
        <v>0</v>
      </c>
      <c r="N78" s="72" t="s">
        <v>129</v>
      </c>
    </row>
    <row r="79" spans="1:14" s="72" customFormat="1" thickTop="1">
      <c r="A79" s="331"/>
      <c r="B79" s="331"/>
      <c r="C79" s="331"/>
      <c r="D79" s="331"/>
      <c r="E79" s="331"/>
      <c r="F79" s="149"/>
      <c r="G79" s="108"/>
      <c r="H79" s="150"/>
      <c r="I79" s="150"/>
      <c r="K79" s="148"/>
      <c r="M79" s="106">
        <f>F78-PO!F82</f>
        <v>0</v>
      </c>
      <c r="N79" s="72" t="s">
        <v>93</v>
      </c>
    </row>
    <row r="80" spans="1:14" s="72" customFormat="1" ht="17.399999999999999">
      <c r="A80" s="331"/>
      <c r="B80" s="59" t="s">
        <v>108</v>
      </c>
      <c r="C80" s="331"/>
      <c r="D80" s="331"/>
      <c r="E80" s="331"/>
      <c r="F80" s="149"/>
      <c r="G80" s="108"/>
      <c r="H80" s="150"/>
      <c r="I80" s="291"/>
      <c r="K80" s="148"/>
      <c r="L80" s="106">
        <f>SUM($L$21:$L$77)-PO!$K$82</f>
        <v>0</v>
      </c>
      <c r="M80" s="72" t="s">
        <v>128</v>
      </c>
    </row>
    <row r="81" spans="1:11" s="72" customFormat="1" ht="17.399999999999999">
      <c r="A81" s="331"/>
      <c r="B81" s="331"/>
      <c r="C81" s="331"/>
      <c r="D81" s="331"/>
      <c r="E81" s="331"/>
      <c r="F81" s="149"/>
      <c r="G81" s="108"/>
      <c r="H81" s="292"/>
      <c r="I81" s="292"/>
      <c r="K81" s="148"/>
    </row>
    <row r="82" spans="1:11" s="72" customFormat="1" ht="17.399999999999999">
      <c r="A82" s="331"/>
      <c r="B82" s="331"/>
      <c r="C82" s="331"/>
      <c r="D82" s="331"/>
      <c r="E82" s="331"/>
      <c r="F82" s="149"/>
      <c r="G82" s="108"/>
      <c r="H82" s="151"/>
      <c r="I82" s="151"/>
      <c r="K82" s="148"/>
    </row>
    <row r="83" spans="1:11" s="72" customFormat="1" ht="17.399999999999999">
      <c r="A83" s="331"/>
      <c r="B83" s="331"/>
      <c r="C83" s="331"/>
      <c r="D83" s="331"/>
      <c r="E83" s="331"/>
      <c r="F83" s="149"/>
      <c r="G83" s="108"/>
      <c r="H83" s="151"/>
      <c r="I83" s="151"/>
      <c r="K83" s="148"/>
    </row>
    <row r="84" spans="1:11" s="72" customFormat="1" ht="17.399999999999999">
      <c r="A84" s="331"/>
      <c r="B84" s="331"/>
      <c r="C84" s="331"/>
      <c r="D84" s="331"/>
      <c r="E84" s="331"/>
      <c r="F84" s="149"/>
      <c r="G84" s="108"/>
      <c r="H84" s="151"/>
      <c r="I84" s="151"/>
      <c r="K84" s="148"/>
    </row>
    <row r="85" spans="1:11" s="72" customFormat="1" ht="17.399999999999999">
      <c r="A85" s="331"/>
      <c r="B85" s="331"/>
      <c r="C85" s="331"/>
      <c r="D85" s="331"/>
      <c r="E85" s="331"/>
      <c r="F85" s="149"/>
      <c r="G85" s="108"/>
      <c r="H85" s="151"/>
      <c r="I85" s="151"/>
      <c r="K85" s="148"/>
    </row>
    <row r="86" spans="1:11" s="72" customFormat="1" ht="17.399999999999999">
      <c r="A86" s="331"/>
      <c r="B86" s="331"/>
      <c r="C86" s="331"/>
      <c r="D86" s="331"/>
      <c r="E86" s="331"/>
      <c r="F86" s="149"/>
      <c r="G86" s="108"/>
      <c r="H86" s="151"/>
      <c r="I86" s="151"/>
      <c r="K86" s="148"/>
    </row>
    <row r="87" spans="1:11" s="72" customFormat="1" ht="17.399999999999999">
      <c r="A87" s="331"/>
      <c r="B87" s="331"/>
      <c r="C87" s="331"/>
      <c r="D87" s="331"/>
      <c r="E87" s="331"/>
      <c r="F87" s="149"/>
      <c r="G87" s="108"/>
      <c r="H87" s="151"/>
      <c r="I87" s="151"/>
      <c r="K87" s="148"/>
    </row>
    <row r="88" spans="1:11" s="72" customFormat="1" ht="17.399999999999999">
      <c r="A88" s="331"/>
      <c r="B88" s="331"/>
      <c r="C88" s="331"/>
      <c r="D88" s="331"/>
      <c r="E88" s="331"/>
      <c r="F88" s="149"/>
      <c r="G88" s="108"/>
      <c r="H88" s="151"/>
      <c r="I88" s="151"/>
      <c r="K88" s="148"/>
    </row>
    <row r="89" spans="1:11" s="72" customFormat="1" ht="17.399999999999999">
      <c r="A89" s="331"/>
      <c r="B89" s="331"/>
      <c r="C89" s="331"/>
      <c r="D89" s="331"/>
      <c r="E89" s="331"/>
      <c r="F89" s="149"/>
      <c r="G89" s="108"/>
      <c r="H89" s="151"/>
      <c r="I89" s="151"/>
      <c r="K89" s="148"/>
    </row>
    <row r="90" spans="1:11" s="72" customFormat="1" ht="17.399999999999999">
      <c r="A90" s="331"/>
      <c r="B90" s="331"/>
      <c r="C90" s="331"/>
      <c r="D90" s="331"/>
      <c r="E90" s="331"/>
      <c r="F90" s="149"/>
      <c r="G90" s="108"/>
      <c r="H90" s="151"/>
      <c r="I90" s="151"/>
      <c r="K90" s="148"/>
    </row>
    <row r="91" spans="1:11" s="72" customFormat="1" ht="17.399999999999999">
      <c r="A91" s="331"/>
      <c r="B91" s="331"/>
      <c r="C91" s="331"/>
      <c r="D91" s="331"/>
      <c r="E91" s="331"/>
      <c r="F91" s="149"/>
      <c r="G91" s="108"/>
      <c r="H91" s="151"/>
      <c r="I91" s="151"/>
      <c r="K91" s="148"/>
    </row>
    <row r="92" spans="1:11" s="72" customFormat="1" ht="17.399999999999999">
      <c r="A92" s="331"/>
      <c r="B92" s="331"/>
      <c r="C92" s="331"/>
      <c r="D92" s="331"/>
      <c r="E92" s="331"/>
      <c r="F92" s="149"/>
      <c r="G92" s="108"/>
      <c r="H92" s="151"/>
      <c r="I92" s="151"/>
      <c r="K92" s="148"/>
    </row>
    <row r="93" spans="1:11" s="72" customFormat="1" ht="17.399999999999999">
      <c r="A93" s="331"/>
      <c r="B93" s="331"/>
      <c r="C93" s="331"/>
      <c r="D93" s="331"/>
      <c r="E93" s="331"/>
      <c r="F93" s="149"/>
      <c r="G93" s="108"/>
      <c r="H93" s="151"/>
      <c r="I93" s="151"/>
      <c r="K93" s="148"/>
    </row>
    <row r="94" spans="1:11" s="72" customFormat="1" ht="17.399999999999999">
      <c r="A94" s="331"/>
      <c r="B94" s="331"/>
      <c r="C94" s="331"/>
      <c r="D94" s="331"/>
      <c r="E94" s="331"/>
      <c r="F94" s="149"/>
      <c r="G94" s="108"/>
      <c r="H94" s="151"/>
      <c r="I94" s="151"/>
      <c r="K94" s="148"/>
    </row>
    <row r="95" spans="1:11" s="72" customFormat="1" ht="17.399999999999999">
      <c r="A95" s="331"/>
      <c r="B95" s="331"/>
      <c r="C95" s="331"/>
      <c r="D95" s="331"/>
      <c r="E95" s="331"/>
      <c r="F95" s="149"/>
      <c r="G95" s="108"/>
      <c r="H95" s="151"/>
      <c r="I95" s="151"/>
      <c r="K95" s="148"/>
    </row>
    <row r="96" spans="1:11" s="72" customFormat="1" ht="17.399999999999999">
      <c r="A96" s="331"/>
      <c r="B96" s="331"/>
      <c r="C96" s="331"/>
      <c r="D96" s="331"/>
      <c r="E96" s="331"/>
      <c r="F96" s="149"/>
      <c r="G96" s="108"/>
      <c r="H96" s="151"/>
      <c r="I96" s="151"/>
      <c r="K96" s="148"/>
    </row>
    <row r="97" spans="1:17" s="72" customFormat="1" ht="17.399999999999999">
      <c r="A97" s="331"/>
      <c r="B97" s="331"/>
      <c r="C97" s="331"/>
      <c r="D97" s="331"/>
      <c r="E97" s="331"/>
      <c r="F97" s="149"/>
      <c r="G97" s="108"/>
      <c r="H97" s="151"/>
      <c r="I97" s="151"/>
      <c r="K97" s="148"/>
    </row>
    <row r="98" spans="1:17" s="72" customFormat="1" ht="17.399999999999999">
      <c r="A98" s="331"/>
      <c r="B98" s="331"/>
      <c r="C98" s="331"/>
      <c r="D98" s="331"/>
      <c r="E98" s="331"/>
      <c r="F98" s="149"/>
      <c r="G98" s="108"/>
      <c r="H98" s="151"/>
      <c r="I98" s="151"/>
      <c r="K98" s="148"/>
    </row>
    <row r="99" spans="1:17" s="72" customFormat="1" ht="17.399999999999999">
      <c r="A99" s="331"/>
      <c r="B99" s="331"/>
      <c r="C99" s="331"/>
      <c r="D99" s="331"/>
      <c r="E99" s="331"/>
      <c r="F99" s="149"/>
      <c r="G99" s="108"/>
      <c r="H99" s="151"/>
      <c r="I99" s="151"/>
      <c r="K99" s="148"/>
    </row>
    <row r="100" spans="1:17" s="72" customFormat="1" ht="17.399999999999999">
      <c r="A100" s="331"/>
      <c r="B100" s="331"/>
      <c r="C100" s="331"/>
      <c r="D100" s="331"/>
      <c r="E100" s="331"/>
      <c r="F100" s="149"/>
      <c r="G100" s="108"/>
      <c r="H100" s="151"/>
      <c r="I100" s="151"/>
      <c r="K100" s="148"/>
    </row>
    <row r="101" spans="1:17" s="72" customFormat="1" ht="17.399999999999999">
      <c r="A101" s="331"/>
      <c r="B101" s="331"/>
      <c r="C101" s="331"/>
      <c r="D101" s="331"/>
      <c r="E101" s="331"/>
      <c r="F101" s="149"/>
      <c r="G101" s="108"/>
      <c r="H101" s="151"/>
      <c r="I101" s="151"/>
      <c r="K101" s="148"/>
    </row>
    <row r="102" spans="1:17" s="72" customFormat="1" ht="17.399999999999999">
      <c r="A102" s="331"/>
      <c r="B102" s="331"/>
      <c r="C102" s="331"/>
      <c r="D102" s="331"/>
      <c r="E102" s="331"/>
      <c r="F102" s="149"/>
      <c r="G102" s="108"/>
      <c r="H102" s="151"/>
      <c r="I102" s="151"/>
      <c r="K102" s="148"/>
    </row>
    <row r="103" spans="1:17" s="72" customFormat="1" ht="17.399999999999999">
      <c r="A103" s="331"/>
      <c r="B103" s="331"/>
      <c r="C103" s="331"/>
      <c r="D103" s="331"/>
      <c r="E103" s="331"/>
      <c r="F103" s="149"/>
      <c r="G103" s="108"/>
      <c r="H103" s="151"/>
      <c r="I103" s="151"/>
      <c r="K103" s="148"/>
    </row>
    <row r="104" spans="1:17" s="72" customFormat="1" ht="17.399999999999999">
      <c r="A104" s="331"/>
      <c r="B104" s="331"/>
      <c r="C104" s="331"/>
      <c r="D104" s="331"/>
      <c r="E104" s="331"/>
      <c r="F104" s="149"/>
      <c r="G104" s="108"/>
      <c r="H104" s="151"/>
      <c r="I104" s="151"/>
      <c r="K104" s="148"/>
    </row>
    <row r="105" spans="1:17" s="72" customFormat="1" ht="17.399999999999999">
      <c r="A105" s="331"/>
      <c r="B105" s="331"/>
      <c r="C105" s="331"/>
      <c r="D105" s="331"/>
      <c r="E105" s="331"/>
      <c r="F105" s="149"/>
      <c r="G105" s="108"/>
      <c r="H105" s="151"/>
      <c r="I105" s="151"/>
      <c r="K105" s="148"/>
    </row>
    <row r="106" spans="1:17" s="72" customFormat="1" ht="17.399999999999999">
      <c r="A106" s="331"/>
      <c r="B106" s="331"/>
      <c r="C106" s="331"/>
      <c r="D106" s="331"/>
      <c r="E106" s="331"/>
      <c r="F106" s="149"/>
      <c r="G106" s="108"/>
      <c r="H106" s="151"/>
      <c r="I106" s="151"/>
      <c r="K106" s="148"/>
    </row>
    <row r="107" spans="1:17" s="72" customFormat="1" ht="17.399999999999999">
      <c r="A107" s="331"/>
      <c r="B107" s="331"/>
      <c r="C107" s="331"/>
      <c r="D107" s="331"/>
      <c r="E107" s="331"/>
      <c r="F107" s="149"/>
      <c r="G107" s="108"/>
      <c r="H107" s="151"/>
      <c r="I107" s="151"/>
      <c r="K107" s="148"/>
    </row>
    <row r="108" spans="1:17" s="72" customFormat="1" ht="17.399999999999999">
      <c r="A108" s="331"/>
      <c r="B108" s="331"/>
      <c r="C108" s="331"/>
      <c r="D108" s="331"/>
      <c r="E108" s="331"/>
      <c r="F108" s="149"/>
      <c r="G108" s="108"/>
      <c r="H108" s="151"/>
      <c r="I108" s="151"/>
      <c r="K108" s="148"/>
    </row>
    <row r="109" spans="1:17" s="72" customFormat="1" ht="17.399999999999999">
      <c r="A109" s="331"/>
      <c r="B109" s="331"/>
      <c r="C109" s="331"/>
      <c r="D109" s="331"/>
      <c r="E109" s="331"/>
      <c r="F109" s="149"/>
      <c r="G109" s="108"/>
      <c r="H109" s="151"/>
      <c r="I109" s="151"/>
      <c r="K109" s="148"/>
    </row>
    <row r="110" spans="1:17" s="59" customFormat="1" ht="17.399999999999999">
      <c r="C110" s="332"/>
      <c r="D110" s="121"/>
      <c r="E110" s="121"/>
      <c r="F110" s="382"/>
      <c r="G110" s="382"/>
      <c r="H110" s="382"/>
      <c r="I110" s="382"/>
      <c r="J110" s="301"/>
      <c r="L110" s="24"/>
      <c r="O110" s="125"/>
      <c r="P110" s="126"/>
      <c r="Q110" s="126"/>
    </row>
    <row r="111" spans="1:17" s="59" customFormat="1" ht="17.399999999999999">
      <c r="C111" s="332"/>
      <c r="D111" s="121"/>
      <c r="E111" s="121"/>
      <c r="F111" s="302"/>
      <c r="G111" s="302"/>
      <c r="H111" s="302"/>
      <c r="I111" s="302"/>
      <c r="J111" s="301"/>
      <c r="L111" s="24"/>
      <c r="O111" s="125"/>
      <c r="P111" s="126"/>
      <c r="Q111" s="126"/>
    </row>
    <row r="112" spans="1:17" s="59" customFormat="1" ht="17.399999999999999">
      <c r="C112" s="332"/>
      <c r="D112" s="121"/>
      <c r="E112" s="121"/>
      <c r="F112" s="302"/>
      <c r="G112" s="302"/>
      <c r="H112" s="302"/>
      <c r="I112" s="302"/>
      <c r="J112" s="301"/>
      <c r="L112" s="24"/>
      <c r="O112" s="125"/>
      <c r="P112" s="126"/>
      <c r="Q112" s="126"/>
    </row>
    <row r="113" spans="2:17" s="59" customFormat="1" ht="17.399999999999999">
      <c r="C113" s="332"/>
      <c r="D113" s="121"/>
      <c r="E113" s="121"/>
      <c r="I113" s="333"/>
      <c r="J113" s="301"/>
      <c r="L113" s="24"/>
      <c r="O113" s="125"/>
      <c r="P113" s="126"/>
      <c r="Q113" s="126"/>
    </row>
    <row r="114" spans="2:17" s="59" customFormat="1" ht="17.399999999999999">
      <c r="C114" s="124"/>
      <c r="D114" s="121"/>
      <c r="E114" s="121"/>
      <c r="J114" s="301"/>
      <c r="L114" s="24"/>
      <c r="O114" s="125"/>
      <c r="P114" s="126"/>
      <c r="Q114" s="126"/>
    </row>
    <row r="115" spans="2:17" s="59" customFormat="1" ht="17.399999999999999">
      <c r="C115" s="124"/>
      <c r="D115" s="121"/>
      <c r="E115" s="121"/>
      <c r="F115" s="370"/>
      <c r="G115" s="370"/>
      <c r="H115" s="370"/>
      <c r="I115" s="370"/>
      <c r="K115" s="24"/>
      <c r="N115" s="125"/>
      <c r="O115" s="126"/>
      <c r="P115" s="126"/>
    </row>
    <row r="116" spans="2:17" s="59" customFormat="1" ht="17.399999999999999">
      <c r="B116" s="113"/>
      <c r="C116" s="124"/>
      <c r="D116" s="121"/>
      <c r="E116" s="121"/>
      <c r="F116" s="379"/>
      <c r="G116" s="379"/>
      <c r="H116" s="379"/>
      <c r="I116" s="379"/>
      <c r="K116" s="24"/>
      <c r="N116" s="125"/>
      <c r="O116" s="126"/>
      <c r="P116" s="126"/>
    </row>
    <row r="117" spans="2:17" s="59" customFormat="1" ht="17.399999999999999">
      <c r="B117" s="113"/>
      <c r="C117" s="124"/>
      <c r="D117" s="121"/>
      <c r="E117" s="121"/>
      <c r="G117" s="379"/>
      <c r="H117" s="379"/>
      <c r="I117" s="114"/>
      <c r="K117" s="24"/>
      <c r="N117" s="125"/>
      <c r="O117" s="126"/>
      <c r="P117" s="126"/>
    </row>
    <row r="118" spans="2:17" s="59" customFormat="1" ht="17.399999999999999">
      <c r="B118" s="113"/>
      <c r="C118" s="124"/>
      <c r="D118" s="121"/>
      <c r="E118" s="121"/>
      <c r="F118" s="113"/>
      <c r="G118" s="114"/>
      <c r="H118" s="115"/>
      <c r="I118" s="301"/>
      <c r="K118" s="24"/>
      <c r="N118" s="125"/>
      <c r="O118" s="126"/>
      <c r="P118" s="126"/>
    </row>
    <row r="119" spans="2:17" s="59" customFormat="1" ht="17.399999999999999">
      <c r="B119" s="113"/>
      <c r="C119" s="124"/>
      <c r="D119" s="121"/>
      <c r="E119" s="121"/>
      <c r="F119" s="370"/>
      <c r="G119" s="370"/>
      <c r="H119" s="370"/>
      <c r="I119" s="370"/>
      <c r="K119" s="24"/>
      <c r="N119" s="125"/>
      <c r="O119" s="126"/>
      <c r="P119" s="126"/>
    </row>
    <row r="120" spans="2:17" s="59" customFormat="1" ht="17.399999999999999">
      <c r="B120" s="113"/>
      <c r="C120" s="124"/>
      <c r="D120" s="121"/>
      <c r="E120" s="121"/>
      <c r="F120" s="379"/>
      <c r="G120" s="379"/>
      <c r="H120" s="379"/>
      <c r="I120" s="379"/>
      <c r="K120" s="24"/>
      <c r="N120" s="125"/>
      <c r="O120" s="126"/>
      <c r="P120" s="126"/>
    </row>
    <row r="121" spans="2:17" s="59" customFormat="1" ht="17.399999999999999">
      <c r="B121" s="113"/>
      <c r="C121" s="124"/>
      <c r="D121" s="121"/>
      <c r="E121" s="121"/>
      <c r="F121" s="113"/>
      <c r="G121" s="114"/>
      <c r="H121" s="297"/>
      <c r="I121" s="301"/>
      <c r="K121" s="24"/>
      <c r="N121" s="125"/>
      <c r="O121" s="126"/>
      <c r="P121" s="126"/>
    </row>
    <row r="122" spans="2:17" s="59" customFormat="1" thickBot="1">
      <c r="B122" s="113"/>
      <c r="C122" s="124"/>
      <c r="D122" s="72"/>
      <c r="E122" s="72"/>
      <c r="F122" s="113"/>
      <c r="G122" s="114"/>
      <c r="H122" s="301"/>
      <c r="I122" s="301"/>
      <c r="K122" s="24"/>
      <c r="N122" s="125"/>
      <c r="O122" s="126"/>
      <c r="P122" s="126"/>
    </row>
    <row r="123" spans="2:17">
      <c r="B123" s="27"/>
      <c r="C123" s="41"/>
      <c r="F123" s="27"/>
      <c r="G123" s="28"/>
      <c r="H123" s="29"/>
      <c r="I123" s="299"/>
      <c r="N123" s="122"/>
      <c r="O123" s="123"/>
      <c r="P123" s="123"/>
    </row>
    <row r="124" spans="2:17">
      <c r="B124" s="27"/>
      <c r="C124" s="41"/>
      <c r="D124" s="34"/>
      <c r="E124" s="34"/>
      <c r="F124" s="27"/>
      <c r="G124" s="28"/>
      <c r="H124" s="29"/>
      <c r="I124" s="299"/>
      <c r="N124" s="122"/>
      <c r="O124" s="123"/>
      <c r="P124" s="123"/>
    </row>
    <row r="125" spans="2:17">
      <c r="B125" s="27"/>
      <c r="C125" s="41"/>
      <c r="D125" s="34"/>
      <c r="E125" s="34"/>
      <c r="F125" s="27"/>
      <c r="G125" s="28"/>
      <c r="H125" s="29"/>
      <c r="I125" s="299"/>
      <c r="N125" s="122"/>
      <c r="O125" s="123"/>
      <c r="P125" s="123"/>
    </row>
    <row r="126" spans="2:17">
      <c r="B126" s="27"/>
      <c r="C126" s="41"/>
      <c r="D126" s="34"/>
      <c r="E126" s="34"/>
      <c r="F126" s="27"/>
      <c r="G126" s="28"/>
      <c r="H126" s="29"/>
      <c r="I126" s="299"/>
      <c r="N126" s="122"/>
      <c r="O126" s="123"/>
      <c r="P126" s="123"/>
    </row>
    <row r="127" spans="2:17">
      <c r="B127" s="27"/>
      <c r="C127" s="41"/>
      <c r="D127" s="34"/>
      <c r="E127" s="34"/>
      <c r="F127" s="27"/>
      <c r="G127" s="28"/>
      <c r="H127" s="29"/>
      <c r="I127" s="299"/>
      <c r="N127" s="122"/>
      <c r="O127" s="123"/>
      <c r="P127" s="123"/>
    </row>
    <row r="128" spans="2:17">
      <c r="B128" s="27"/>
      <c r="C128" s="41"/>
      <c r="D128" s="34"/>
      <c r="E128" s="34"/>
      <c r="F128" s="27"/>
      <c r="G128" s="28"/>
      <c r="H128" s="29"/>
      <c r="I128" s="299"/>
      <c r="N128" s="122"/>
      <c r="O128" s="123"/>
      <c r="P128" s="123"/>
    </row>
    <row r="129" spans="2:16">
      <c r="B129" s="27"/>
      <c r="C129" s="41"/>
      <c r="D129" s="34"/>
      <c r="E129" s="34"/>
      <c r="F129" s="27"/>
      <c r="G129" s="28"/>
      <c r="H129" s="29"/>
      <c r="I129" s="299"/>
      <c r="N129" s="122"/>
      <c r="O129" s="123"/>
      <c r="P129" s="123"/>
    </row>
    <row r="130" spans="2:16" ht="15.75" customHeight="1">
      <c r="B130" s="27"/>
      <c r="C130" s="41"/>
      <c r="D130" s="34"/>
      <c r="E130" s="34"/>
      <c r="F130" s="27"/>
      <c r="G130" s="28"/>
      <c r="H130" s="29"/>
      <c r="I130" s="299"/>
      <c r="N130" s="122"/>
      <c r="O130" s="123"/>
      <c r="P130" s="123"/>
    </row>
    <row r="131" spans="2:16" ht="15.75" customHeight="1">
      <c r="B131" s="27"/>
      <c r="C131" s="34"/>
      <c r="D131" s="48"/>
      <c r="E131" s="48"/>
      <c r="F131" s="2"/>
      <c r="G131" s="48"/>
      <c r="H131" s="29"/>
      <c r="I131" s="299"/>
      <c r="N131" s="122"/>
      <c r="O131" s="123"/>
      <c r="P131" s="123"/>
    </row>
    <row r="132" spans="2:16" ht="15.75" customHeight="1">
      <c r="B132" s="41"/>
      <c r="C132" s="334"/>
      <c r="D132" s="335"/>
      <c r="E132" s="335"/>
      <c r="F132" s="335"/>
      <c r="G132" s="335"/>
      <c r="H132" s="29"/>
      <c r="I132" s="299"/>
      <c r="P132" s="123"/>
    </row>
    <row r="133" spans="2:16" ht="15.75" customHeight="1">
      <c r="B133" s="299"/>
      <c r="C133" s="334"/>
      <c r="D133" s="18"/>
      <c r="E133" s="18"/>
      <c r="F133" s="335"/>
      <c r="G133" s="18"/>
      <c r="H133" s="29"/>
      <c r="I133" s="299"/>
    </row>
    <row r="134" spans="2:16" ht="15.75" customHeight="1">
      <c r="B134" s="8"/>
      <c r="C134" s="28"/>
      <c r="D134" s="335"/>
      <c r="E134" s="335"/>
      <c r="F134" s="335"/>
      <c r="G134" s="335"/>
      <c r="H134" s="29"/>
      <c r="I134" s="299"/>
    </row>
  </sheetData>
  <mergeCells count="10">
    <mergeCell ref="F119:I119"/>
    <mergeCell ref="F120:I120"/>
    <mergeCell ref="A6:I6"/>
    <mergeCell ref="F19:G19"/>
    <mergeCell ref="H10:I10"/>
    <mergeCell ref="G117:H117"/>
    <mergeCell ref="F110:I110"/>
    <mergeCell ref="F115:I115"/>
    <mergeCell ref="F116:I116"/>
    <mergeCell ref="A78:E78"/>
  </mergeCells>
  <conditionalFormatting sqref="B21:B77">
    <cfRule type="expression" dxfId="5" priority="1">
      <formula>IF($J21="machining",1,0)</formula>
    </cfRule>
  </conditionalFormatting>
  <printOptions horizontalCentered="1"/>
  <pageMargins left="0.43307086614173229" right="0" top="0.35433070866141736" bottom="0.55118110236220474" header="0.27559055118110237" footer="0.19685039370078741"/>
  <pageSetup paperSize="9" scale="74" orientation="portrait" r:id="rId1"/>
  <headerFooter alignWithMargins="0">
    <oddHeader>&amp;R&amp;Pof&amp;N</oddHeader>
    <oddFooter>&amp;C&amp;"Arial,Italic"Thank you for your business!</oddFooter>
  </headerFooter>
  <rowBreaks count="1" manualBreakCount="1">
    <brk id="65" max="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R160"/>
  <sheetViews>
    <sheetView view="pageBreakPreview" topLeftCell="A60" zoomScale="130" zoomScaleNormal="100" zoomScaleSheetLayoutView="130" workbookViewId="0">
      <selection activeCell="AS70" sqref="AS70"/>
    </sheetView>
  </sheetViews>
  <sheetFormatPr defaultColWidth="9.109375" defaultRowHeight="17.399999999999999"/>
  <cols>
    <col min="1" max="1" width="7" style="58" customWidth="1"/>
    <col min="2" max="2" width="15" style="59" customWidth="1"/>
    <col min="3" max="3" width="20" style="59" customWidth="1"/>
    <col min="4" max="4" width="7.88671875" style="59" customWidth="1"/>
    <col min="5" max="5" width="8.88671875" style="59" customWidth="1"/>
    <col min="6" max="6" width="7.88671875" style="59" customWidth="1"/>
    <col min="7" max="7" width="13.5546875" style="104" customWidth="1"/>
    <col min="8" max="8" width="13" style="104" customWidth="1"/>
    <col min="9" max="9" width="9.6640625" style="58" customWidth="1"/>
    <col min="10" max="10" width="8.5546875" style="153" customWidth="1"/>
    <col min="11" max="11" width="6.44140625" style="59" hidden="1" customWidth="1"/>
    <col min="12" max="12" width="5.109375" style="156" hidden="1" customWidth="1"/>
    <col min="13" max="13" width="2.5546875" style="59" hidden="1" customWidth="1"/>
    <col min="14" max="14" width="16.109375" style="59" hidden="1" customWidth="1"/>
    <col min="15" max="15" width="11.5546875" style="59" hidden="1" customWidth="1"/>
    <col min="16" max="16" width="7.33203125" style="59" hidden="1" customWidth="1"/>
    <col min="17" max="17" width="8.88671875" style="59" hidden="1" customWidth="1"/>
    <col min="18" max="18" width="11" style="59" hidden="1" customWidth="1"/>
    <col min="19" max="19" width="3.109375" style="59" hidden="1" customWidth="1"/>
    <col min="20" max="21" width="6.5546875" style="59" hidden="1" customWidth="1"/>
    <col min="22" max="22" width="8.109375" style="59" hidden="1" customWidth="1"/>
    <col min="23" max="31" width="6.5546875" style="59" hidden="1" customWidth="1"/>
    <col min="32" max="44" width="9.109375" style="59" hidden="1" customWidth="1"/>
    <col min="45" max="49" width="9.109375" style="59" customWidth="1"/>
    <col min="50" max="16384" width="9.109375" style="59"/>
  </cols>
  <sheetData>
    <row r="1" spans="1:31" ht="18">
      <c r="A1" s="1" t="s">
        <v>19</v>
      </c>
      <c r="B1" s="155"/>
      <c r="C1" s="60"/>
      <c r="D1" s="60"/>
      <c r="E1" s="60"/>
      <c r="F1" s="60"/>
      <c r="G1" s="127"/>
      <c r="H1" s="127"/>
      <c r="T1" s="304" t="s">
        <v>52</v>
      </c>
      <c r="U1" s="305" t="s">
        <v>16</v>
      </c>
      <c r="V1" s="306" t="s">
        <v>52</v>
      </c>
      <c r="W1" s="305" t="s">
        <v>16</v>
      </c>
      <c r="X1" s="97" t="s">
        <v>52</v>
      </c>
      <c r="Y1" s="305" t="s">
        <v>16</v>
      </c>
      <c r="Z1" s="97" t="s">
        <v>52</v>
      </c>
      <c r="AA1" s="305" t="s">
        <v>16</v>
      </c>
      <c r="AB1" s="97" t="s">
        <v>52</v>
      </c>
      <c r="AC1" s="305" t="s">
        <v>16</v>
      </c>
      <c r="AD1" s="97" t="s">
        <v>52</v>
      </c>
      <c r="AE1" s="305" t="s">
        <v>16</v>
      </c>
    </row>
    <row r="2" spans="1:31">
      <c r="A2" s="57" t="str">
        <f>IV!A2</f>
        <v>Land plot J2, J3, J4, Japan Hai Phong IZ,  Hong An ward, Hai Phong city, Viet Nam</v>
      </c>
      <c r="B2" s="60"/>
      <c r="C2" s="60"/>
      <c r="D2" s="60"/>
      <c r="E2" s="60"/>
      <c r="F2" s="60"/>
      <c r="G2" s="127"/>
      <c r="H2" s="127"/>
      <c r="N2" s="59" t="s">
        <v>25</v>
      </c>
      <c r="O2" s="59" t="s">
        <v>26</v>
      </c>
      <c r="Q2" s="59" t="s">
        <v>27</v>
      </c>
      <c r="R2" s="76" t="s">
        <v>16</v>
      </c>
      <c r="S2" s="90"/>
      <c r="T2" s="304" t="s">
        <v>44</v>
      </c>
      <c r="U2" s="305" t="s">
        <v>44</v>
      </c>
      <c r="V2" s="306" t="s">
        <v>45</v>
      </c>
      <c r="W2" s="305" t="s">
        <v>45</v>
      </c>
      <c r="X2" s="97" t="s">
        <v>46</v>
      </c>
      <c r="Y2" s="305" t="s">
        <v>46</v>
      </c>
      <c r="Z2" s="97" t="s">
        <v>47</v>
      </c>
      <c r="AA2" s="307" t="s">
        <v>47</v>
      </c>
      <c r="AB2" s="97" t="s">
        <v>87</v>
      </c>
      <c r="AC2" s="307" t="s">
        <v>87</v>
      </c>
      <c r="AD2" s="97" t="s">
        <v>88</v>
      </c>
      <c r="AE2" s="307" t="s">
        <v>88</v>
      </c>
    </row>
    <row r="3" spans="1:31" ht="18" thickBot="1">
      <c r="A3" s="64" t="s">
        <v>41</v>
      </c>
      <c r="B3" s="65"/>
      <c r="C3" s="65"/>
      <c r="D3" s="65"/>
      <c r="E3" s="65"/>
      <c r="F3" s="65"/>
      <c r="G3" s="128"/>
      <c r="H3" s="128"/>
      <c r="I3" s="162"/>
      <c r="J3" s="163"/>
      <c r="N3" s="308"/>
      <c r="O3" s="129"/>
      <c r="Q3" s="129"/>
      <c r="R3" s="30"/>
      <c r="S3" s="90"/>
      <c r="T3" s="157"/>
      <c r="U3" s="158"/>
      <c r="V3" s="160"/>
      <c r="W3" s="161"/>
      <c r="X3" s="160"/>
      <c r="Y3" s="161"/>
      <c r="Z3" s="159"/>
      <c r="AA3" s="158"/>
      <c r="AB3" s="159"/>
      <c r="AC3" s="158"/>
      <c r="AD3" s="159"/>
      <c r="AE3" s="158"/>
    </row>
    <row r="4" spans="1:31" ht="15" customHeight="1" thickTop="1">
      <c r="B4" s="60"/>
      <c r="C4" s="60"/>
      <c r="D4" s="60"/>
      <c r="E4" s="60"/>
      <c r="F4" s="60"/>
      <c r="G4" s="127"/>
      <c r="H4" s="127"/>
      <c r="J4" s="57"/>
      <c r="N4" s="308" t="s">
        <v>35</v>
      </c>
      <c r="O4" s="129">
        <v>39</v>
      </c>
      <c r="P4" s="59" t="s">
        <v>21</v>
      </c>
      <c r="Q4" s="172">
        <f>T4+V4+X4</f>
        <v>29</v>
      </c>
      <c r="R4" s="30">
        <v>0.56999999999999995</v>
      </c>
      <c r="T4" s="164">
        <v>8</v>
      </c>
      <c r="U4" s="165">
        <f>T4*R4</f>
        <v>4.5599999999999996</v>
      </c>
      <c r="V4" s="160">
        <v>8</v>
      </c>
      <c r="W4" s="161">
        <f>V4*R4</f>
        <v>4.5599999999999996</v>
      </c>
      <c r="X4" s="160">
        <v>13</v>
      </c>
      <c r="Y4" s="161">
        <f>X4*R4</f>
        <v>7.4099999999999993</v>
      </c>
      <c r="Z4" s="166">
        <v>16</v>
      </c>
      <c r="AA4" s="161">
        <f>Z4*R4</f>
        <v>9.1199999999999992</v>
      </c>
      <c r="AB4" s="166"/>
      <c r="AC4" s="161">
        <f>R4*AB4</f>
        <v>0</v>
      </c>
      <c r="AD4" s="166"/>
      <c r="AE4" s="161">
        <f>AD4*R4</f>
        <v>0</v>
      </c>
    </row>
    <row r="5" spans="1:31" ht="23.4">
      <c r="A5" s="389" t="s">
        <v>15</v>
      </c>
      <c r="B5" s="389"/>
      <c r="C5" s="389"/>
      <c r="D5" s="389"/>
      <c r="E5" s="389"/>
      <c r="F5" s="389"/>
      <c r="G5" s="389"/>
      <c r="H5" s="389"/>
      <c r="I5" s="389"/>
      <c r="J5" s="389"/>
      <c r="N5" s="308" t="s">
        <v>97</v>
      </c>
      <c r="O5" s="129">
        <v>8</v>
      </c>
      <c r="P5" s="59" t="s">
        <v>21</v>
      </c>
      <c r="Q5" s="129">
        <f t="shared" ref="Q5:Q15" si="0">SUMIF($B$19:$B$93,N5,$E$19:$E$123)</f>
        <v>8</v>
      </c>
      <c r="R5" s="30">
        <v>1</v>
      </c>
      <c r="S5" s="90"/>
      <c r="T5" s="167"/>
      <c r="U5" s="165">
        <f t="shared" ref="U5:U14" si="1">T5*R5</f>
        <v>0</v>
      </c>
      <c r="V5" s="160"/>
      <c r="W5" s="161">
        <f t="shared" ref="W5:W9" si="2">V5*R5</f>
        <v>0</v>
      </c>
      <c r="X5" s="168"/>
      <c r="Y5" s="161">
        <f t="shared" ref="Y5:Y14" si="3">X5*R5</f>
        <v>0</v>
      </c>
      <c r="Z5" s="166"/>
      <c r="AA5" s="161">
        <f t="shared" ref="AA5:AA14" si="4">Z5*R5</f>
        <v>0</v>
      </c>
      <c r="AB5" s="166"/>
      <c r="AC5" s="161">
        <f t="shared" ref="AC5:AC14" si="5">R5*AB5</f>
        <v>0</v>
      </c>
      <c r="AD5" s="166"/>
      <c r="AE5" s="161">
        <f t="shared" ref="AE5:AE14" si="6">AD5*R5</f>
        <v>0</v>
      </c>
    </row>
    <row r="6" spans="1:31">
      <c r="B6" s="59" t="s">
        <v>9</v>
      </c>
      <c r="H6" s="75"/>
      <c r="N6" s="308" t="s">
        <v>96</v>
      </c>
      <c r="O6" s="129">
        <v>8</v>
      </c>
      <c r="P6" s="59" t="s">
        <v>21</v>
      </c>
      <c r="Q6" s="129">
        <f t="shared" si="0"/>
        <v>0</v>
      </c>
      <c r="R6" s="30">
        <v>1.1200000000000001</v>
      </c>
      <c r="T6" s="167">
        <v>8</v>
      </c>
      <c r="U6" s="165">
        <f t="shared" si="1"/>
        <v>8.9600000000000009</v>
      </c>
      <c r="V6" s="160"/>
      <c r="W6" s="161">
        <f t="shared" si="2"/>
        <v>0</v>
      </c>
      <c r="X6" s="168"/>
      <c r="Y6" s="161">
        <f t="shared" si="3"/>
        <v>0</v>
      </c>
      <c r="Z6" s="166"/>
      <c r="AA6" s="161">
        <f t="shared" si="4"/>
        <v>0</v>
      </c>
      <c r="AB6" s="166"/>
      <c r="AC6" s="161">
        <f t="shared" si="5"/>
        <v>0</v>
      </c>
      <c r="AD6" s="166"/>
      <c r="AE6" s="161">
        <f t="shared" si="6"/>
        <v>0</v>
      </c>
    </row>
    <row r="7" spans="1:31">
      <c r="B7" s="76" t="s">
        <v>10</v>
      </c>
      <c r="C7" s="298" t="s">
        <v>28</v>
      </c>
      <c r="G7" s="75" t="str">
        <f>IV!H8</f>
        <v xml:space="preserve">Invoice No.: </v>
      </c>
      <c r="H7" s="75" t="str">
        <f>IV!I8</f>
        <v>CMV/INV26-103</v>
      </c>
      <c r="I7" s="169"/>
      <c r="N7" s="308" t="s">
        <v>100</v>
      </c>
      <c r="O7" s="129">
        <v>8</v>
      </c>
      <c r="P7" s="59" t="s">
        <v>21</v>
      </c>
      <c r="Q7" s="129">
        <f t="shared" si="0"/>
        <v>7</v>
      </c>
      <c r="R7" s="30">
        <v>1.65</v>
      </c>
      <c r="T7" s="167"/>
      <c r="U7" s="165">
        <f>T7*R7</f>
        <v>0</v>
      </c>
      <c r="V7" s="160"/>
      <c r="W7" s="161">
        <f t="shared" si="2"/>
        <v>0</v>
      </c>
      <c r="X7" s="160">
        <v>7</v>
      </c>
      <c r="Y7" s="161">
        <f t="shared" si="3"/>
        <v>11.549999999999999</v>
      </c>
      <c r="Z7" s="166"/>
      <c r="AA7" s="161">
        <f t="shared" si="4"/>
        <v>0</v>
      </c>
      <c r="AB7" s="166"/>
      <c r="AC7" s="161">
        <f t="shared" si="5"/>
        <v>0</v>
      </c>
      <c r="AD7" s="166"/>
      <c r="AE7" s="161">
        <f t="shared" si="6"/>
        <v>0</v>
      </c>
    </row>
    <row r="8" spans="1:31">
      <c r="B8" s="57" t="str">
        <f>IV!B10</f>
        <v xml:space="preserve">199, Mu 1 Phahon Yothin Road, Sanap Tuep Sub-district, </v>
      </c>
      <c r="G8" s="75" t="str">
        <f>IV!H9</f>
        <v xml:space="preserve">Invoice date: </v>
      </c>
      <c r="H8" s="396">
        <f>IV!I9</f>
        <v>46252</v>
      </c>
      <c r="I8" s="396"/>
      <c r="N8" s="152" t="s">
        <v>105</v>
      </c>
      <c r="O8" s="129">
        <v>8</v>
      </c>
      <c r="P8" s="59" t="s">
        <v>21</v>
      </c>
      <c r="Q8" s="129">
        <f t="shared" si="0"/>
        <v>0</v>
      </c>
      <c r="R8" s="30">
        <v>1.1200000000000001</v>
      </c>
      <c r="T8" s="167"/>
      <c r="U8" s="165">
        <f t="shared" si="1"/>
        <v>0</v>
      </c>
      <c r="V8" s="160"/>
      <c r="W8" s="161">
        <f t="shared" si="2"/>
        <v>0</v>
      </c>
      <c r="X8" s="160"/>
      <c r="Y8" s="161">
        <f t="shared" si="3"/>
        <v>0</v>
      </c>
      <c r="Z8" s="166"/>
      <c r="AA8" s="161">
        <f t="shared" si="4"/>
        <v>0</v>
      </c>
      <c r="AB8" s="166"/>
      <c r="AC8" s="161">
        <f>R8*AB8</f>
        <v>0</v>
      </c>
      <c r="AD8" s="166"/>
      <c r="AE8" s="161">
        <f t="shared" si="6"/>
        <v>0</v>
      </c>
    </row>
    <row r="9" spans="1:31">
      <c r="B9" s="206" t="str">
        <f>IV!B11</f>
        <v>Wang Noi District, Phra Nakhon Si Ayutthaya Province 13170, Thailand</v>
      </c>
      <c r="G9" s="381" t="str">
        <f>CONCATENATE("Contract (P.O) No.: ", PO!E13)</f>
        <v>Contract (P.O) No.: 112602255;3429,3620,3655,3663</v>
      </c>
      <c r="H9" s="381"/>
      <c r="I9" s="381"/>
      <c r="J9" s="381"/>
      <c r="N9" s="308" t="s">
        <v>98</v>
      </c>
      <c r="O9" s="129">
        <v>8</v>
      </c>
      <c r="P9" s="59" t="s">
        <v>21</v>
      </c>
      <c r="Q9" s="129">
        <f t="shared" si="0"/>
        <v>5</v>
      </c>
      <c r="R9" s="30">
        <v>1.2</v>
      </c>
      <c r="T9" s="167"/>
      <c r="U9" s="165">
        <f t="shared" si="1"/>
        <v>0</v>
      </c>
      <c r="V9" s="160"/>
      <c r="W9" s="161">
        <f t="shared" si="2"/>
        <v>0</v>
      </c>
      <c r="X9" s="160">
        <v>5</v>
      </c>
      <c r="Y9" s="161">
        <f t="shared" si="3"/>
        <v>6</v>
      </c>
      <c r="Z9" s="166"/>
      <c r="AA9" s="161">
        <f>Z9*R9</f>
        <v>0</v>
      </c>
      <c r="AB9" s="166"/>
      <c r="AC9" s="161">
        <f t="shared" si="5"/>
        <v>0</v>
      </c>
      <c r="AD9" s="166"/>
      <c r="AE9" s="161">
        <f t="shared" si="6"/>
        <v>0</v>
      </c>
    </row>
    <row r="10" spans="1:31">
      <c r="B10" s="57" t="str">
        <f>IV!B12</f>
        <v>Tel: 66 (0)35 902-640-1 # 807;  Fax: 66 (0)35 902-644</v>
      </c>
      <c r="G10" s="381" t="str">
        <f>IV!H11</f>
        <v>Contract (P.O date.: June 15th 2026</v>
      </c>
      <c r="H10" s="381"/>
      <c r="I10" s="381"/>
      <c r="N10" s="308" t="s">
        <v>102</v>
      </c>
      <c r="O10" s="129">
        <v>8</v>
      </c>
      <c r="P10" s="59" t="s">
        <v>21</v>
      </c>
      <c r="Q10" s="129">
        <f t="shared" si="0"/>
        <v>3</v>
      </c>
      <c r="R10" s="30">
        <v>1.2</v>
      </c>
      <c r="T10" s="167"/>
      <c r="U10" s="165">
        <f t="shared" si="1"/>
        <v>0</v>
      </c>
      <c r="V10" s="160"/>
      <c r="W10" s="161">
        <f t="shared" ref="W10:W15" si="7">V10*R10</f>
        <v>0</v>
      </c>
      <c r="X10" s="160"/>
      <c r="Y10" s="161">
        <f t="shared" si="3"/>
        <v>0</v>
      </c>
      <c r="Z10" s="166">
        <v>3</v>
      </c>
      <c r="AA10" s="161">
        <f t="shared" si="4"/>
        <v>3.5999999999999996</v>
      </c>
      <c r="AB10" s="166"/>
      <c r="AC10" s="161">
        <f t="shared" si="5"/>
        <v>0</v>
      </c>
      <c r="AD10" s="166"/>
      <c r="AE10" s="161">
        <f t="shared" si="6"/>
        <v>0</v>
      </c>
    </row>
    <row r="11" spans="1:31">
      <c r="G11" s="381" t="s">
        <v>34</v>
      </c>
      <c r="H11" s="381"/>
      <c r="I11" s="381"/>
      <c r="N11" s="308" t="s">
        <v>103</v>
      </c>
      <c r="O11" s="129">
        <v>8</v>
      </c>
      <c r="P11" s="59" t="s">
        <v>21</v>
      </c>
      <c r="Q11" s="129">
        <f t="shared" si="0"/>
        <v>0</v>
      </c>
      <c r="R11" s="30">
        <v>1.2</v>
      </c>
      <c r="T11" s="167"/>
      <c r="U11" s="165">
        <f t="shared" si="1"/>
        <v>0</v>
      </c>
      <c r="V11" s="160"/>
      <c r="W11" s="161">
        <f t="shared" si="7"/>
        <v>0</v>
      </c>
      <c r="X11" s="160"/>
      <c r="Y11" s="161">
        <f t="shared" si="3"/>
        <v>0</v>
      </c>
      <c r="Z11" s="166"/>
      <c r="AA11" s="161">
        <f t="shared" si="4"/>
        <v>0</v>
      </c>
      <c r="AB11" s="166"/>
      <c r="AC11" s="161">
        <f t="shared" si="5"/>
        <v>0</v>
      </c>
      <c r="AD11" s="166"/>
      <c r="AE11" s="161">
        <f t="shared" si="6"/>
        <v>0</v>
      </c>
    </row>
    <row r="12" spans="1:31">
      <c r="B12" s="76" t="str">
        <f>IV!B14</f>
        <v>Name of vessel/Voy.</v>
      </c>
      <c r="C12" s="129" t="str">
        <f>IV!C14</f>
        <v>HF LUCKY 2617S</v>
      </c>
      <c r="D12" s="129"/>
      <c r="E12" s="129"/>
      <c r="G12" s="75" t="str">
        <f>IV!H13</f>
        <v>ETA Laem Chabang: On or about August 23rd 2026</v>
      </c>
      <c r="N12" s="308" t="s">
        <v>101</v>
      </c>
      <c r="O12" s="129">
        <v>8</v>
      </c>
      <c r="P12" s="59" t="s">
        <v>21</v>
      </c>
      <c r="Q12" s="129">
        <f t="shared" si="0"/>
        <v>14</v>
      </c>
      <c r="R12" s="170">
        <v>1.65</v>
      </c>
      <c r="T12" s="167">
        <v>8</v>
      </c>
      <c r="U12" s="165">
        <f>T12*R12</f>
        <v>13.2</v>
      </c>
      <c r="V12" s="160">
        <v>4</v>
      </c>
      <c r="W12" s="161">
        <f t="shared" si="7"/>
        <v>6.6</v>
      </c>
      <c r="X12" s="160">
        <v>2</v>
      </c>
      <c r="Y12" s="161">
        <f t="shared" si="3"/>
        <v>3.3</v>
      </c>
      <c r="Z12" s="166"/>
      <c r="AA12" s="161">
        <f t="shared" si="4"/>
        <v>0</v>
      </c>
      <c r="AB12" s="166"/>
      <c r="AC12" s="161">
        <f t="shared" si="5"/>
        <v>0</v>
      </c>
      <c r="AD12" s="166"/>
      <c r="AE12" s="161">
        <f t="shared" si="6"/>
        <v>0</v>
      </c>
    </row>
    <row r="13" spans="1:31">
      <c r="B13" s="76" t="s">
        <v>12</v>
      </c>
      <c r="C13" s="171" t="str">
        <f>IV!C15</f>
        <v>August  19th 2026</v>
      </c>
      <c r="G13" s="75" t="s">
        <v>38</v>
      </c>
      <c r="H13" s="75"/>
      <c r="N13" s="308" t="s">
        <v>99</v>
      </c>
      <c r="O13" s="129">
        <v>8</v>
      </c>
      <c r="P13" s="59" t="s">
        <v>21</v>
      </c>
      <c r="Q13" s="129">
        <f t="shared" si="0"/>
        <v>2</v>
      </c>
      <c r="R13" s="30">
        <v>2.13</v>
      </c>
      <c r="T13" s="167"/>
      <c r="U13" s="165">
        <f t="shared" si="1"/>
        <v>0</v>
      </c>
      <c r="V13" s="160">
        <v>2</v>
      </c>
      <c r="W13" s="161">
        <f t="shared" si="7"/>
        <v>4.26</v>
      </c>
      <c r="X13" s="160"/>
      <c r="Y13" s="161">
        <f>X13*R13</f>
        <v>0</v>
      </c>
      <c r="Z13" s="166"/>
      <c r="AA13" s="161">
        <f>Z13*R13</f>
        <v>0</v>
      </c>
      <c r="AB13" s="166"/>
      <c r="AC13" s="161">
        <f>R13*AB13</f>
        <v>0</v>
      </c>
      <c r="AD13" s="166"/>
      <c r="AE13" s="161">
        <f t="shared" si="6"/>
        <v>0</v>
      </c>
    </row>
    <row r="14" spans="1:31">
      <c r="B14" s="76" t="s">
        <v>13</v>
      </c>
      <c r="C14" s="171" t="s">
        <v>37</v>
      </c>
      <c r="H14" s="75"/>
      <c r="N14" s="308" t="s">
        <v>104</v>
      </c>
      <c r="O14" s="129">
        <v>8</v>
      </c>
      <c r="P14" s="59" t="s">
        <v>21</v>
      </c>
      <c r="Q14" s="129">
        <f t="shared" si="0"/>
        <v>0</v>
      </c>
      <c r="R14" s="30">
        <v>1.1200000000000001</v>
      </c>
      <c r="T14" s="167"/>
      <c r="U14" s="165">
        <f t="shared" si="1"/>
        <v>0</v>
      </c>
      <c r="V14" s="160"/>
      <c r="W14" s="161">
        <f t="shared" si="7"/>
        <v>0</v>
      </c>
      <c r="X14" s="160"/>
      <c r="Y14" s="161">
        <f t="shared" si="3"/>
        <v>0</v>
      </c>
      <c r="Z14" s="166">
        <v>8</v>
      </c>
      <c r="AA14" s="161">
        <f t="shared" si="4"/>
        <v>8.9600000000000009</v>
      </c>
      <c r="AB14" s="166"/>
      <c r="AC14" s="161">
        <f t="shared" si="5"/>
        <v>0</v>
      </c>
      <c r="AD14" s="166"/>
      <c r="AE14" s="161">
        <f t="shared" si="6"/>
        <v>0</v>
      </c>
    </row>
    <row r="15" spans="1:31">
      <c r="B15" s="76" t="s">
        <v>86</v>
      </c>
      <c r="C15" s="171" t="s">
        <v>33</v>
      </c>
      <c r="E15" s="58"/>
      <c r="H15" s="75"/>
      <c r="N15" s="308" t="s">
        <v>126</v>
      </c>
      <c r="O15" s="129">
        <v>8</v>
      </c>
      <c r="P15" s="59" t="s">
        <v>21</v>
      </c>
      <c r="Q15" s="129">
        <f t="shared" si="0"/>
        <v>0</v>
      </c>
      <c r="R15" s="30">
        <v>1.73</v>
      </c>
      <c r="T15" s="167"/>
      <c r="U15" s="165">
        <f t="shared" ref="U15" si="8">T15*R15</f>
        <v>0</v>
      </c>
      <c r="V15" s="160">
        <v>5</v>
      </c>
      <c r="W15" s="161">
        <f t="shared" si="7"/>
        <v>8.65</v>
      </c>
      <c r="X15" s="160"/>
      <c r="Y15" s="161">
        <f t="shared" ref="Y15" si="9">X15*R15</f>
        <v>0</v>
      </c>
      <c r="Z15" s="166"/>
      <c r="AA15" s="161">
        <f t="shared" ref="AA15" si="10">Z15*R15</f>
        <v>0</v>
      </c>
      <c r="AB15" s="166"/>
      <c r="AC15" s="161">
        <f t="shared" ref="AC15" si="11">R15*AB15</f>
        <v>0</v>
      </c>
      <c r="AD15" s="166"/>
      <c r="AE15" s="161">
        <f t="shared" ref="AE15" si="12">AD15*R15</f>
        <v>0</v>
      </c>
    </row>
    <row r="16" spans="1:31" ht="6" customHeight="1" thickBot="1">
      <c r="Z16" s="172"/>
      <c r="AB16" s="172"/>
      <c r="AD16" s="172"/>
    </row>
    <row r="17" spans="1:31" ht="18" thickTop="1">
      <c r="A17" s="173" t="s">
        <v>31</v>
      </c>
      <c r="B17" s="296"/>
      <c r="C17" s="91" t="s">
        <v>2</v>
      </c>
      <c r="D17" s="91"/>
      <c r="E17" s="369" t="s">
        <v>3</v>
      </c>
      <c r="F17" s="369"/>
      <c r="G17" s="138" t="s">
        <v>84</v>
      </c>
      <c r="H17" s="138" t="s">
        <v>85</v>
      </c>
      <c r="I17" s="394" t="s">
        <v>32</v>
      </c>
      <c r="J17" s="395"/>
      <c r="K17" s="174"/>
      <c r="Q17" s="172">
        <f>SUM(Q4:Q14)</f>
        <v>68</v>
      </c>
      <c r="T17" s="309">
        <f t="shared" ref="T17:AE17" si="13">SUM(T4:T15)</f>
        <v>24</v>
      </c>
      <c r="U17" s="310">
        <f t="shared" si="13"/>
        <v>26.72</v>
      </c>
      <c r="V17" s="309">
        <f t="shared" si="13"/>
        <v>19</v>
      </c>
      <c r="W17" s="310">
        <f t="shared" si="13"/>
        <v>24.07</v>
      </c>
      <c r="X17" s="309">
        <f t="shared" si="13"/>
        <v>27</v>
      </c>
      <c r="Y17" s="310">
        <f t="shared" si="13"/>
        <v>28.259999999999998</v>
      </c>
      <c r="Z17" s="309">
        <f t="shared" si="13"/>
        <v>27</v>
      </c>
      <c r="AA17" s="310">
        <f t="shared" si="13"/>
        <v>21.68</v>
      </c>
      <c r="AB17" s="309">
        <f t="shared" si="13"/>
        <v>0</v>
      </c>
      <c r="AC17" s="310">
        <f t="shared" si="13"/>
        <v>0</v>
      </c>
      <c r="AD17" s="309">
        <f t="shared" si="13"/>
        <v>0</v>
      </c>
      <c r="AE17" s="310">
        <f t="shared" si="13"/>
        <v>0</v>
      </c>
    </row>
    <row r="18" spans="1:31" s="90" customFormat="1">
      <c r="A18" s="393" t="str">
        <f>[8]IV!A20</f>
        <v>PARTS FOR CNC AUTOMATIC LATHE.</v>
      </c>
      <c r="B18" s="393"/>
      <c r="C18" s="393"/>
      <c r="D18" s="279"/>
      <c r="E18" s="279"/>
      <c r="F18" s="96"/>
      <c r="G18" s="280"/>
      <c r="H18" s="280"/>
      <c r="I18" s="280"/>
      <c r="J18" s="281"/>
      <c r="K18" s="282"/>
      <c r="L18" s="175"/>
      <c r="R18" s="72" t="s">
        <v>53</v>
      </c>
      <c r="S18" s="72"/>
      <c r="T18" s="311">
        <f>T17+V17+X17+Z17+AB17+AD17</f>
        <v>97</v>
      </c>
    </row>
    <row r="19" spans="1:31" s="90" customFormat="1">
      <c r="A19" s="312" t="s">
        <v>156</v>
      </c>
      <c r="B19" s="145" t="s">
        <v>260</v>
      </c>
      <c r="C19" s="205" t="s">
        <v>353</v>
      </c>
      <c r="D19" s="251"/>
      <c r="E19" s="176">
        <v>8</v>
      </c>
      <c r="F19" s="194" t="s">
        <v>7</v>
      </c>
      <c r="G19" s="190">
        <f>E19*L19</f>
        <v>4720</v>
      </c>
      <c r="H19" s="190">
        <f>G19+4*E19</f>
        <v>4752</v>
      </c>
      <c r="I19" s="177"/>
      <c r="J19" s="178"/>
      <c r="K19" s="179"/>
      <c r="L19" s="181">
        <f>VLOOKUP(B19:B150,PO!C5:J139,8,0)</f>
        <v>590</v>
      </c>
      <c r="R19" s="80" t="s">
        <v>54</v>
      </c>
      <c r="S19" s="80"/>
      <c r="T19" s="397">
        <f>U17+W17+Y17+AA17+AC17+AE17</f>
        <v>100.72999999999999</v>
      </c>
      <c r="U19" s="397"/>
    </row>
    <row r="20" spans="1:31" s="90" customFormat="1">
      <c r="A20" s="312" t="s">
        <v>177</v>
      </c>
      <c r="B20" s="145" t="s">
        <v>101</v>
      </c>
      <c r="C20" s="205" t="s">
        <v>353</v>
      </c>
      <c r="D20" s="251"/>
      <c r="E20" s="176">
        <v>8</v>
      </c>
      <c r="F20" s="194" t="s">
        <v>7</v>
      </c>
      <c r="G20" s="190">
        <f t="shared" ref="G20:G32" si="14">E20*L20</f>
        <v>10640</v>
      </c>
      <c r="H20" s="190">
        <f t="shared" ref="H20" si="15">G20+4*E20</f>
        <v>10672</v>
      </c>
      <c r="I20" s="177"/>
      <c r="J20" s="178"/>
      <c r="K20" s="179"/>
      <c r="L20" s="181">
        <f>VLOOKUP(B20:B151,PO!C6:J140,8,0)</f>
        <v>1330</v>
      </c>
      <c r="R20" s="80"/>
      <c r="S20" s="80"/>
      <c r="T20" s="313"/>
      <c r="U20" s="313"/>
    </row>
    <row r="21" spans="1:31" s="90" customFormat="1">
      <c r="A21" s="312" t="s">
        <v>178</v>
      </c>
      <c r="B21" s="145" t="s">
        <v>152</v>
      </c>
      <c r="C21" s="205" t="s">
        <v>293</v>
      </c>
      <c r="D21" s="251"/>
      <c r="E21" s="176">
        <v>10</v>
      </c>
      <c r="F21" s="194" t="s">
        <v>7</v>
      </c>
      <c r="G21" s="190">
        <f t="shared" ref="G21:G22" si="16">E21*L21</f>
        <v>300</v>
      </c>
      <c r="H21" s="402">
        <f>SUM(G21:G32)+39*8</f>
        <v>5881</v>
      </c>
      <c r="I21" s="177"/>
      <c r="J21" s="178"/>
      <c r="K21" s="179"/>
      <c r="L21" s="181">
        <f>VLOOKUP(B21:B152,PO!C7:J141,8,0)</f>
        <v>30</v>
      </c>
      <c r="R21" s="80"/>
      <c r="S21" s="80"/>
      <c r="T21" s="313"/>
      <c r="U21" s="313"/>
    </row>
    <row r="22" spans="1:31" s="90" customFormat="1">
      <c r="A22" s="312" t="s">
        <v>178</v>
      </c>
      <c r="B22" s="145" t="s">
        <v>125</v>
      </c>
      <c r="C22" s="205" t="s">
        <v>295</v>
      </c>
      <c r="D22" s="251"/>
      <c r="E22" s="176">
        <v>10</v>
      </c>
      <c r="F22" s="194" t="s">
        <v>7</v>
      </c>
      <c r="G22" s="190">
        <f t="shared" si="16"/>
        <v>1410</v>
      </c>
      <c r="H22" s="403"/>
      <c r="I22" s="177"/>
      <c r="J22" s="178"/>
      <c r="K22" s="179"/>
      <c r="L22" s="181">
        <f>VLOOKUP(B22:B153,PO!C8:J142,8,0)</f>
        <v>141</v>
      </c>
      <c r="R22" s="80"/>
      <c r="S22" s="80"/>
      <c r="T22" s="313"/>
      <c r="U22" s="313"/>
    </row>
    <row r="23" spans="1:31" s="90" customFormat="1">
      <c r="A23" s="312" t="s">
        <v>178</v>
      </c>
      <c r="B23" s="145" t="s">
        <v>205</v>
      </c>
      <c r="C23" s="205" t="s">
        <v>299</v>
      </c>
      <c r="D23" s="251"/>
      <c r="E23" s="176">
        <v>30</v>
      </c>
      <c r="F23" s="194" t="s">
        <v>7</v>
      </c>
      <c r="G23" s="190">
        <f t="shared" si="14"/>
        <v>390</v>
      </c>
      <c r="H23" s="403"/>
      <c r="I23" s="177"/>
      <c r="J23" s="178"/>
      <c r="K23" s="179"/>
      <c r="L23" s="181">
        <f>VLOOKUP(B23:B152,PO!C7:J141,8,0)</f>
        <v>13</v>
      </c>
      <c r="R23" s="80"/>
      <c r="S23" s="80"/>
      <c r="T23" s="313"/>
      <c r="U23" s="313"/>
    </row>
    <row r="24" spans="1:31" s="90" customFormat="1">
      <c r="A24" s="312" t="s">
        <v>178</v>
      </c>
      <c r="B24" s="145" t="s">
        <v>237</v>
      </c>
      <c r="C24" s="205" t="s">
        <v>295</v>
      </c>
      <c r="D24" s="251"/>
      <c r="E24" s="176">
        <v>5</v>
      </c>
      <c r="F24" s="194" t="s">
        <v>7</v>
      </c>
      <c r="G24" s="190">
        <f t="shared" si="14"/>
        <v>675</v>
      </c>
      <c r="H24" s="403"/>
      <c r="I24" s="177"/>
      <c r="J24" s="178"/>
      <c r="K24" s="179"/>
      <c r="L24" s="181">
        <f>VLOOKUP(B24:B153,PO!C8:J142,8,0)</f>
        <v>135</v>
      </c>
      <c r="R24" s="80"/>
      <c r="S24" s="80"/>
      <c r="T24" s="313"/>
      <c r="U24" s="313"/>
    </row>
    <row r="25" spans="1:31" s="90" customFormat="1">
      <c r="A25" s="312" t="s">
        <v>178</v>
      </c>
      <c r="B25" s="145" t="s">
        <v>199</v>
      </c>
      <c r="C25" s="205" t="s">
        <v>291</v>
      </c>
      <c r="D25" s="251"/>
      <c r="E25" s="176">
        <v>10</v>
      </c>
      <c r="F25" s="194" t="s">
        <v>7</v>
      </c>
      <c r="G25" s="190">
        <f t="shared" si="14"/>
        <v>230</v>
      </c>
      <c r="H25" s="403"/>
      <c r="I25" s="177" t="s">
        <v>113</v>
      </c>
      <c r="J25" s="178" t="s">
        <v>114</v>
      </c>
      <c r="K25" s="179"/>
      <c r="L25" s="181">
        <f>VLOOKUP(B25:B154,PO!C9:J143,8,0)</f>
        <v>23</v>
      </c>
      <c r="R25" s="80"/>
      <c r="S25" s="80"/>
      <c r="T25" s="313"/>
      <c r="U25" s="313"/>
    </row>
    <row r="26" spans="1:31" s="90" customFormat="1">
      <c r="A26" s="312" t="s">
        <v>178</v>
      </c>
      <c r="B26" s="145" t="s">
        <v>238</v>
      </c>
      <c r="C26" s="205" t="s">
        <v>293</v>
      </c>
      <c r="D26" s="251"/>
      <c r="E26" s="176">
        <v>15</v>
      </c>
      <c r="F26" s="194" t="s">
        <v>7</v>
      </c>
      <c r="G26" s="190">
        <f t="shared" si="14"/>
        <v>300</v>
      </c>
      <c r="H26" s="403"/>
      <c r="I26" s="177">
        <f>$T$17</f>
        <v>24</v>
      </c>
      <c r="J26" s="178" t="s">
        <v>115</v>
      </c>
      <c r="K26" s="179"/>
      <c r="L26" s="181">
        <f>VLOOKUP(B26:B155,PO!C10:J144,8,0)</f>
        <v>20</v>
      </c>
      <c r="R26" s="80"/>
      <c r="S26" s="80"/>
      <c r="T26" s="313"/>
      <c r="U26" s="313"/>
    </row>
    <row r="27" spans="1:31" s="90" customFormat="1">
      <c r="A27" s="312" t="s">
        <v>178</v>
      </c>
      <c r="B27" s="145" t="s">
        <v>239</v>
      </c>
      <c r="C27" s="205" t="s">
        <v>294</v>
      </c>
      <c r="D27" s="251"/>
      <c r="E27" s="176">
        <v>15</v>
      </c>
      <c r="F27" s="194" t="s">
        <v>7</v>
      </c>
      <c r="G27" s="190">
        <f t="shared" si="14"/>
        <v>390</v>
      </c>
      <c r="H27" s="403"/>
      <c r="I27" s="284">
        <f>$U$17</f>
        <v>26.72</v>
      </c>
      <c r="J27" s="178" t="s">
        <v>16</v>
      </c>
      <c r="K27" s="179"/>
      <c r="L27" s="181">
        <f>VLOOKUP(B27:B156,PO!C11:J145,8,0)</f>
        <v>26</v>
      </c>
      <c r="R27" s="80"/>
      <c r="S27" s="80"/>
      <c r="T27" s="313"/>
      <c r="U27" s="313"/>
    </row>
    <row r="28" spans="1:31" s="90" customFormat="1">
      <c r="A28" s="312" t="s">
        <v>178</v>
      </c>
      <c r="B28" s="145" t="s">
        <v>146</v>
      </c>
      <c r="C28" s="205" t="s">
        <v>295</v>
      </c>
      <c r="D28" s="251"/>
      <c r="E28" s="176">
        <v>5</v>
      </c>
      <c r="F28" s="194" t="s">
        <v>7</v>
      </c>
      <c r="G28" s="190">
        <f t="shared" si="14"/>
        <v>790</v>
      </c>
      <c r="H28" s="403"/>
      <c r="I28" s="177"/>
      <c r="J28" s="178"/>
      <c r="K28" s="179"/>
      <c r="L28" s="181">
        <f>VLOOKUP(B28:B157,PO!C12:J146,8,0)</f>
        <v>158</v>
      </c>
      <c r="R28" s="80"/>
      <c r="S28" s="80"/>
      <c r="T28" s="313"/>
      <c r="U28" s="313"/>
    </row>
    <row r="29" spans="1:31" s="90" customFormat="1">
      <c r="A29" s="312" t="s">
        <v>178</v>
      </c>
      <c r="B29" s="145" t="s">
        <v>147</v>
      </c>
      <c r="C29" s="205" t="s">
        <v>455</v>
      </c>
      <c r="D29" s="251"/>
      <c r="E29" s="176">
        <v>13</v>
      </c>
      <c r="F29" s="194" t="s">
        <v>7</v>
      </c>
      <c r="G29" s="190">
        <f t="shared" si="14"/>
        <v>221</v>
      </c>
      <c r="H29" s="403"/>
      <c r="I29" s="177"/>
      <c r="J29" s="178"/>
      <c r="K29" s="179"/>
      <c r="L29" s="181">
        <f>VLOOKUP(B29:B158,PO!C13:J147,8,0)</f>
        <v>17</v>
      </c>
      <c r="R29" s="80"/>
      <c r="S29" s="80"/>
      <c r="T29" s="313"/>
      <c r="U29" s="313"/>
    </row>
    <row r="30" spans="1:31" s="90" customFormat="1">
      <c r="A30" s="312" t="s">
        <v>178</v>
      </c>
      <c r="B30" s="145" t="s">
        <v>148</v>
      </c>
      <c r="C30" s="205" t="s">
        <v>291</v>
      </c>
      <c r="D30" s="251"/>
      <c r="E30" s="176">
        <v>10</v>
      </c>
      <c r="F30" s="194" t="s">
        <v>7</v>
      </c>
      <c r="G30" s="190">
        <f t="shared" si="14"/>
        <v>410</v>
      </c>
      <c r="H30" s="403"/>
      <c r="I30" s="177"/>
      <c r="J30" s="178"/>
      <c r="K30" s="179"/>
      <c r="L30" s="181">
        <f>VLOOKUP(B30:B159,PO!C14:J148,8,0)</f>
        <v>41</v>
      </c>
      <c r="R30" s="80"/>
      <c r="S30" s="80"/>
      <c r="T30" s="313"/>
      <c r="U30" s="313"/>
    </row>
    <row r="31" spans="1:31" s="90" customFormat="1">
      <c r="A31" s="312" t="s">
        <v>178</v>
      </c>
      <c r="B31" s="145" t="s">
        <v>200</v>
      </c>
      <c r="C31" s="205" t="s">
        <v>293</v>
      </c>
      <c r="D31" s="251"/>
      <c r="E31" s="176">
        <v>12</v>
      </c>
      <c r="F31" s="194" t="s">
        <v>7</v>
      </c>
      <c r="G31" s="190">
        <f t="shared" si="14"/>
        <v>348</v>
      </c>
      <c r="H31" s="403"/>
      <c r="I31" s="177"/>
      <c r="J31" s="178"/>
      <c r="K31" s="179"/>
      <c r="L31" s="181">
        <f>VLOOKUP(B31:B160,PO!C15:J149,8,0)</f>
        <v>29</v>
      </c>
      <c r="R31" s="80"/>
      <c r="S31" s="80"/>
      <c r="T31" s="313"/>
      <c r="U31" s="313"/>
    </row>
    <row r="32" spans="1:31" s="90" customFormat="1">
      <c r="A32" s="312" t="s">
        <v>178</v>
      </c>
      <c r="B32" s="145" t="s">
        <v>151</v>
      </c>
      <c r="C32" s="205" t="s">
        <v>293</v>
      </c>
      <c r="D32" s="251"/>
      <c r="E32" s="250">
        <v>5</v>
      </c>
      <c r="F32" s="164" t="s">
        <v>7</v>
      </c>
      <c r="G32" s="167">
        <f t="shared" si="14"/>
        <v>105</v>
      </c>
      <c r="H32" s="404"/>
      <c r="I32" s="177"/>
      <c r="J32" s="178"/>
      <c r="K32" s="179"/>
      <c r="L32" s="181">
        <f>VLOOKUP(B32:B161,PO!C16:J150,8,0)</f>
        <v>21</v>
      </c>
      <c r="R32" s="80"/>
      <c r="S32" s="80"/>
      <c r="T32" s="313"/>
      <c r="U32" s="313"/>
    </row>
    <row r="33" spans="1:33" s="80" customFormat="1" ht="18" thickBot="1">
      <c r="A33" s="374" t="s">
        <v>112</v>
      </c>
      <c r="B33" s="375"/>
      <c r="C33" s="375"/>
      <c r="D33" s="376"/>
      <c r="E33" s="249">
        <f>SUM(E19:E32)</f>
        <v>156</v>
      </c>
      <c r="F33" s="211" t="s">
        <v>7</v>
      </c>
      <c r="G33" s="314">
        <f>SUM(G19:G32)</f>
        <v>20929</v>
      </c>
      <c r="H33" s="314">
        <f>SUM(H19:H32)</f>
        <v>21305</v>
      </c>
      <c r="I33" s="220"/>
      <c r="J33" s="209"/>
      <c r="K33" s="179"/>
      <c r="L33" s="181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</row>
    <row r="34" spans="1:33" s="80" customFormat="1" ht="18" thickTop="1">
      <c r="A34" s="312" t="s">
        <v>240</v>
      </c>
      <c r="B34" s="145" t="s">
        <v>99</v>
      </c>
      <c r="C34" s="205" t="s">
        <v>353</v>
      </c>
      <c r="D34" s="193"/>
      <c r="E34" s="176">
        <v>2</v>
      </c>
      <c r="F34" s="194" t="s">
        <v>7</v>
      </c>
      <c r="G34" s="190">
        <f t="shared" ref="G34:G38" si="17">E34*L34</f>
        <v>2750</v>
      </c>
      <c r="H34" s="190">
        <f>G34+4*E34</f>
        <v>2758</v>
      </c>
      <c r="I34" s="177"/>
      <c r="J34" s="178"/>
      <c r="K34" s="179"/>
      <c r="L34" s="181">
        <f>VLOOKUP(B34:B162,PO!C17:J151,8,0)</f>
        <v>1375</v>
      </c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</row>
    <row r="35" spans="1:33" s="80" customFormat="1">
      <c r="A35" s="312" t="s">
        <v>241</v>
      </c>
      <c r="B35" s="145" t="s">
        <v>101</v>
      </c>
      <c r="C35" s="205" t="s">
        <v>353</v>
      </c>
      <c r="D35" s="251"/>
      <c r="E35" s="176">
        <v>4</v>
      </c>
      <c r="F35" s="194" t="s">
        <v>7</v>
      </c>
      <c r="G35" s="190">
        <f t="shared" si="17"/>
        <v>5320</v>
      </c>
      <c r="H35" s="190">
        <f>G35+4*E35</f>
        <v>5336</v>
      </c>
      <c r="I35" s="177"/>
      <c r="J35" s="178"/>
      <c r="K35" s="179"/>
      <c r="L35" s="181">
        <f>VLOOKUP(B35:B164,PO!C19:J153,8,0)</f>
        <v>1330</v>
      </c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</row>
    <row r="36" spans="1:33" s="80" customFormat="1">
      <c r="A36" s="312" t="s">
        <v>242</v>
      </c>
      <c r="B36" s="145" t="s">
        <v>261</v>
      </c>
      <c r="C36" s="205" t="s">
        <v>353</v>
      </c>
      <c r="D36" s="251"/>
      <c r="E36" s="176">
        <v>5</v>
      </c>
      <c r="F36" s="194" t="s">
        <v>7</v>
      </c>
      <c r="G36" s="190">
        <f t="shared" si="17"/>
        <v>7940</v>
      </c>
      <c r="H36" s="190">
        <f>G36+4*E36</f>
        <v>7960</v>
      </c>
      <c r="I36" s="177"/>
      <c r="J36" s="178"/>
      <c r="K36" s="179"/>
      <c r="L36" s="181">
        <f>VLOOKUP(B36:B165,PO!C20:J154,8,0)</f>
        <v>1588</v>
      </c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</row>
    <row r="37" spans="1:33" s="80" customFormat="1">
      <c r="A37" s="312" t="s">
        <v>243</v>
      </c>
      <c r="B37" s="145" t="s">
        <v>164</v>
      </c>
      <c r="C37" s="205" t="s">
        <v>291</v>
      </c>
      <c r="D37" s="251"/>
      <c r="E37" s="176">
        <v>16</v>
      </c>
      <c r="F37" s="194" t="s">
        <v>7</v>
      </c>
      <c r="G37" s="190">
        <f t="shared" si="17"/>
        <v>736</v>
      </c>
      <c r="H37" s="399">
        <f>SUM(G37:G42)+39*8</f>
        <v>5406</v>
      </c>
      <c r="I37" s="177"/>
      <c r="J37" s="178"/>
      <c r="K37" s="179"/>
      <c r="L37" s="181">
        <f>VLOOKUP(B37:B166,PO!C21:J155,8,0)</f>
        <v>46</v>
      </c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</row>
    <row r="38" spans="1:33" s="80" customFormat="1">
      <c r="A38" s="312" t="str">
        <f>A37</f>
        <v>12~19</v>
      </c>
      <c r="B38" s="145" t="s">
        <v>145</v>
      </c>
      <c r="C38" s="205" t="s">
        <v>295</v>
      </c>
      <c r="D38" s="251"/>
      <c r="E38" s="176">
        <v>3</v>
      </c>
      <c r="F38" s="194" t="s">
        <v>7</v>
      </c>
      <c r="G38" s="190">
        <f t="shared" si="17"/>
        <v>498</v>
      </c>
      <c r="H38" s="400"/>
      <c r="I38" s="177" t="s">
        <v>117</v>
      </c>
      <c r="J38" s="178" t="s">
        <v>114</v>
      </c>
      <c r="K38" s="179"/>
      <c r="L38" s="181">
        <f>VLOOKUP(B38:B167,PO!C22:J156,8,0)</f>
        <v>166</v>
      </c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</row>
    <row r="39" spans="1:33" s="80" customFormat="1">
      <c r="A39" s="312" t="str">
        <f t="shared" ref="A39:A42" si="18">A38</f>
        <v>12~19</v>
      </c>
      <c r="B39" s="145" t="s">
        <v>237</v>
      </c>
      <c r="C39" s="205" t="s">
        <v>295</v>
      </c>
      <c r="D39" s="251"/>
      <c r="E39" s="176">
        <v>10</v>
      </c>
      <c r="F39" s="194" t="s">
        <v>7</v>
      </c>
      <c r="G39" s="190">
        <f t="shared" ref="G39" si="19">E39*L39</f>
        <v>1350</v>
      </c>
      <c r="H39" s="400"/>
      <c r="I39" s="177">
        <f>$V$17</f>
        <v>19</v>
      </c>
      <c r="J39" s="178" t="s">
        <v>115</v>
      </c>
      <c r="K39" s="179"/>
      <c r="L39" s="181">
        <f>VLOOKUP(B39:B168,PO!C23:J157,8,0)</f>
        <v>135</v>
      </c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</row>
    <row r="40" spans="1:33" s="80" customFormat="1">
      <c r="A40" s="312" t="str">
        <f t="shared" si="18"/>
        <v>12~19</v>
      </c>
      <c r="B40" s="145" t="s">
        <v>146</v>
      </c>
      <c r="C40" s="205" t="s">
        <v>295</v>
      </c>
      <c r="D40" s="251"/>
      <c r="E40" s="176">
        <v>10</v>
      </c>
      <c r="F40" s="194" t="s">
        <v>7</v>
      </c>
      <c r="G40" s="190">
        <f t="shared" ref="G40:G86" si="20">E40*L40</f>
        <v>1580</v>
      </c>
      <c r="H40" s="400"/>
      <c r="I40" s="177">
        <f>$W$17</f>
        <v>24.07</v>
      </c>
      <c r="J40" s="178" t="s">
        <v>16</v>
      </c>
      <c r="K40" s="179"/>
      <c r="L40" s="181">
        <f>VLOOKUP(B40:B169,PO!C24:J158,8,0)</f>
        <v>158</v>
      </c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</row>
    <row r="41" spans="1:33" s="80" customFormat="1">
      <c r="A41" s="312" t="str">
        <f t="shared" si="18"/>
        <v>12~19</v>
      </c>
      <c r="B41" s="145" t="s">
        <v>149</v>
      </c>
      <c r="C41" s="205" t="s">
        <v>291</v>
      </c>
      <c r="D41" s="251"/>
      <c r="E41" s="176">
        <v>10</v>
      </c>
      <c r="F41" s="194" t="s">
        <v>7</v>
      </c>
      <c r="G41" s="190">
        <f t="shared" si="20"/>
        <v>480</v>
      </c>
      <c r="H41" s="400"/>
      <c r="I41" s="177"/>
      <c r="J41" s="178"/>
      <c r="K41" s="179"/>
      <c r="L41" s="181">
        <f>VLOOKUP(B41:B170,PO!C25:J159,8,0)</f>
        <v>48</v>
      </c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</row>
    <row r="42" spans="1:33" s="80" customFormat="1">
      <c r="A42" s="312" t="str">
        <f t="shared" si="18"/>
        <v>12~19</v>
      </c>
      <c r="B42" s="145" t="s">
        <v>150</v>
      </c>
      <c r="C42" s="205" t="s">
        <v>294</v>
      </c>
      <c r="D42" s="251"/>
      <c r="E42" s="176">
        <v>10</v>
      </c>
      <c r="F42" s="194" t="s">
        <v>7</v>
      </c>
      <c r="G42" s="190">
        <f t="shared" si="20"/>
        <v>450</v>
      </c>
      <c r="H42" s="401"/>
      <c r="I42" s="177"/>
      <c r="J42" s="178"/>
      <c r="K42" s="179"/>
      <c r="L42" s="181">
        <f>VLOOKUP(B42:B171,PO!C26:J160,8,0)</f>
        <v>45</v>
      </c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</row>
    <row r="43" spans="1:33" s="80" customFormat="1" ht="18" thickBot="1">
      <c r="A43" s="386" t="s">
        <v>116</v>
      </c>
      <c r="B43" s="387"/>
      <c r="C43" s="387"/>
      <c r="D43" s="388"/>
      <c r="E43" s="210">
        <f>SUM(E34:E42)</f>
        <v>70</v>
      </c>
      <c r="F43" s="211" t="s">
        <v>7</v>
      </c>
      <c r="G43" s="314">
        <f>SUM(G34:G42)</f>
        <v>21104</v>
      </c>
      <c r="H43" s="314">
        <f>SUM(H34:H42)</f>
        <v>21460</v>
      </c>
      <c r="I43" s="207"/>
      <c r="J43" s="208"/>
      <c r="K43" s="212"/>
      <c r="L43" s="181"/>
    </row>
    <row r="44" spans="1:33" s="80" customFormat="1" ht="18" thickTop="1">
      <c r="A44" s="312" t="s">
        <v>180</v>
      </c>
      <c r="B44" s="145" t="s">
        <v>98</v>
      </c>
      <c r="C44" s="205" t="s">
        <v>426</v>
      </c>
      <c r="D44" s="251"/>
      <c r="E44" s="176">
        <v>5</v>
      </c>
      <c r="F44" s="194" t="s">
        <v>7</v>
      </c>
      <c r="G44" s="190">
        <f t="shared" si="20"/>
        <v>4360</v>
      </c>
      <c r="H44" s="190">
        <f t="shared" ref="H44:H46" si="21">G44+4*E44</f>
        <v>4380</v>
      </c>
      <c r="I44" s="252"/>
      <c r="J44" s="253"/>
      <c r="K44" s="212"/>
      <c r="L44" s="181">
        <f>VLOOKUP(B7:B188,PO!C3:J177,8,0)</f>
        <v>872</v>
      </c>
    </row>
    <row r="45" spans="1:33" s="80" customFormat="1">
      <c r="A45" s="312" t="s">
        <v>208</v>
      </c>
      <c r="B45" s="145" t="s">
        <v>100</v>
      </c>
      <c r="C45" s="205" t="s">
        <v>353</v>
      </c>
      <c r="D45" s="251"/>
      <c r="E45" s="176">
        <v>7</v>
      </c>
      <c r="F45" s="194" t="s">
        <v>7</v>
      </c>
      <c r="G45" s="190">
        <f t="shared" si="20"/>
        <v>8155</v>
      </c>
      <c r="H45" s="190">
        <f t="shared" si="21"/>
        <v>8183</v>
      </c>
      <c r="I45" s="252"/>
      <c r="J45" s="253"/>
      <c r="K45" s="212"/>
      <c r="L45" s="181">
        <f>VLOOKUP(B8:B189,PO!C4:J178,8,0)</f>
        <v>1165</v>
      </c>
    </row>
    <row r="46" spans="1:33" s="80" customFormat="1">
      <c r="A46" s="312" t="s">
        <v>209</v>
      </c>
      <c r="B46" s="145" t="s">
        <v>101</v>
      </c>
      <c r="C46" s="205" t="s">
        <v>353</v>
      </c>
      <c r="D46" s="251"/>
      <c r="E46" s="176">
        <v>2</v>
      </c>
      <c r="F46" s="194" t="s">
        <v>7</v>
      </c>
      <c r="G46" s="190">
        <f t="shared" si="20"/>
        <v>2660</v>
      </c>
      <c r="H46" s="190">
        <f t="shared" si="21"/>
        <v>2668</v>
      </c>
      <c r="I46" s="252"/>
      <c r="J46" s="253"/>
      <c r="K46" s="212"/>
      <c r="L46" s="181">
        <f>VLOOKUP(B9:B190,PO!C5:J179,8,0)</f>
        <v>1330</v>
      </c>
    </row>
    <row r="47" spans="1:33" s="80" customFormat="1">
      <c r="A47" s="312" t="s">
        <v>248</v>
      </c>
      <c r="B47" s="145" t="s">
        <v>244</v>
      </c>
      <c r="C47" s="205" t="s">
        <v>290</v>
      </c>
      <c r="D47" s="251"/>
      <c r="E47" s="176">
        <v>50</v>
      </c>
      <c r="F47" s="194" t="s">
        <v>7</v>
      </c>
      <c r="G47" s="190">
        <f t="shared" ref="G47:G63" si="22">E47*L47</f>
        <v>300</v>
      </c>
      <c r="H47" s="402">
        <f>SUM(G47:G63)+39*13</f>
        <v>6251</v>
      </c>
      <c r="I47" s="177"/>
      <c r="J47" s="178"/>
      <c r="K47" s="212"/>
      <c r="L47" s="181">
        <f>VLOOKUP(B10:B191,PO!C6:J180,8,0)</f>
        <v>6</v>
      </c>
    </row>
    <row r="48" spans="1:33" s="80" customFormat="1">
      <c r="A48" s="312" t="str">
        <f>A47</f>
        <v>15~27</v>
      </c>
      <c r="B48" s="145" t="s">
        <v>164</v>
      </c>
      <c r="C48" s="205" t="s">
        <v>291</v>
      </c>
      <c r="D48" s="251"/>
      <c r="E48" s="176">
        <v>2</v>
      </c>
      <c r="F48" s="194" t="s">
        <v>7</v>
      </c>
      <c r="G48" s="190">
        <f t="shared" si="22"/>
        <v>92</v>
      </c>
      <c r="H48" s="403"/>
      <c r="I48" s="177"/>
      <c r="J48" s="178"/>
      <c r="K48" s="212"/>
      <c r="L48" s="181">
        <f>VLOOKUP(B11:B192,PO!C7:J181,8,0)</f>
        <v>46</v>
      </c>
    </row>
    <row r="49" spans="1:12" s="80" customFormat="1">
      <c r="A49" s="312" t="str">
        <f t="shared" ref="A49:A63" si="23">A48</f>
        <v>15~27</v>
      </c>
      <c r="B49" s="145" t="s">
        <v>203</v>
      </c>
      <c r="C49" s="205" t="s">
        <v>347</v>
      </c>
      <c r="D49" s="251"/>
      <c r="E49" s="176">
        <v>30</v>
      </c>
      <c r="F49" s="194" t="s">
        <v>7</v>
      </c>
      <c r="G49" s="190">
        <f t="shared" si="22"/>
        <v>210</v>
      </c>
      <c r="H49" s="403"/>
      <c r="I49" s="177"/>
      <c r="J49" s="178"/>
      <c r="K49" s="212"/>
      <c r="L49" s="181">
        <f>VLOOKUP(B12:B193,PO!C8:J182,8,0)</f>
        <v>7</v>
      </c>
    </row>
    <row r="50" spans="1:12" s="80" customFormat="1">
      <c r="A50" s="312" t="str">
        <f t="shared" si="23"/>
        <v>15~27</v>
      </c>
      <c r="B50" s="145" t="s">
        <v>204</v>
      </c>
      <c r="C50" s="205" t="s">
        <v>374</v>
      </c>
      <c r="D50" s="251"/>
      <c r="E50" s="176">
        <v>50</v>
      </c>
      <c r="F50" s="194" t="s">
        <v>7</v>
      </c>
      <c r="G50" s="190">
        <f t="shared" si="22"/>
        <v>150</v>
      </c>
      <c r="H50" s="403"/>
      <c r="I50" s="177"/>
      <c r="J50" s="178"/>
      <c r="K50" s="212"/>
      <c r="L50" s="181">
        <f>VLOOKUP(B13:B194,PO!C9:J183,8,0)</f>
        <v>3</v>
      </c>
    </row>
    <row r="51" spans="1:12" s="80" customFormat="1">
      <c r="A51" s="312" t="str">
        <f>A49</f>
        <v>15~27</v>
      </c>
      <c r="B51" s="145" t="s">
        <v>144</v>
      </c>
      <c r="C51" s="205" t="s">
        <v>361</v>
      </c>
      <c r="D51" s="251"/>
      <c r="E51" s="176">
        <v>30</v>
      </c>
      <c r="F51" s="194" t="s">
        <v>7</v>
      </c>
      <c r="G51" s="190">
        <f t="shared" si="22"/>
        <v>390</v>
      </c>
      <c r="H51" s="403"/>
      <c r="I51" s="177"/>
      <c r="J51" s="178"/>
      <c r="K51" s="212"/>
      <c r="L51" s="181">
        <f>VLOOKUP(B13:B194,PO!C9:J183,8,0)</f>
        <v>13</v>
      </c>
    </row>
    <row r="52" spans="1:12" s="80" customFormat="1">
      <c r="A52" s="312" t="str">
        <f t="shared" si="23"/>
        <v>15~27</v>
      </c>
      <c r="B52" s="145" t="s">
        <v>269</v>
      </c>
      <c r="C52" s="205" t="s">
        <v>294</v>
      </c>
      <c r="D52" s="251"/>
      <c r="E52" s="176">
        <v>6</v>
      </c>
      <c r="F52" s="194" t="s">
        <v>7</v>
      </c>
      <c r="G52" s="190">
        <f t="shared" si="22"/>
        <v>378</v>
      </c>
      <c r="H52" s="403"/>
      <c r="I52" s="177"/>
      <c r="J52" s="178"/>
      <c r="K52" s="212"/>
      <c r="L52" s="181">
        <f>VLOOKUP(B14:B195,PO!C10:J184,8,0)</f>
        <v>63</v>
      </c>
    </row>
    <row r="53" spans="1:12" s="80" customFormat="1">
      <c r="A53" s="312" t="str">
        <f t="shared" si="23"/>
        <v>15~27</v>
      </c>
      <c r="B53" s="145" t="s">
        <v>145</v>
      </c>
      <c r="C53" s="205" t="s">
        <v>295</v>
      </c>
      <c r="D53" s="251"/>
      <c r="E53" s="176">
        <v>3</v>
      </c>
      <c r="F53" s="194" t="s">
        <v>7</v>
      </c>
      <c r="G53" s="190">
        <f t="shared" si="22"/>
        <v>498</v>
      </c>
      <c r="H53" s="403"/>
      <c r="I53" s="177"/>
      <c r="J53" s="178"/>
      <c r="K53" s="212"/>
      <c r="L53" s="181">
        <f>VLOOKUP(B15:B196,PO!C11:J185,8,0)</f>
        <v>166</v>
      </c>
    </row>
    <row r="54" spans="1:12" s="80" customFormat="1">
      <c r="A54" s="312" t="str">
        <f t="shared" si="23"/>
        <v>15~27</v>
      </c>
      <c r="B54" s="145" t="s">
        <v>245</v>
      </c>
      <c r="C54" s="205" t="s">
        <v>467</v>
      </c>
      <c r="D54" s="251"/>
      <c r="E54" s="176">
        <v>12</v>
      </c>
      <c r="F54" s="194" t="s">
        <v>7</v>
      </c>
      <c r="G54" s="190">
        <f t="shared" si="22"/>
        <v>456</v>
      </c>
      <c r="H54" s="403"/>
      <c r="I54" s="177"/>
      <c r="J54" s="178"/>
      <c r="K54" s="212"/>
      <c r="L54" s="181">
        <f>VLOOKUP(B16:B197,PO!C12:J186,8,0)</f>
        <v>38</v>
      </c>
    </row>
    <row r="55" spans="1:12" s="80" customFormat="1">
      <c r="A55" s="312" t="str">
        <f t="shared" si="23"/>
        <v>15~27</v>
      </c>
      <c r="B55" s="145" t="s">
        <v>201</v>
      </c>
      <c r="C55" s="205" t="s">
        <v>291</v>
      </c>
      <c r="D55" s="251"/>
      <c r="E55" s="176">
        <v>10</v>
      </c>
      <c r="F55" s="194" t="s">
        <v>7</v>
      </c>
      <c r="G55" s="190">
        <f t="shared" si="22"/>
        <v>730</v>
      </c>
      <c r="H55" s="403"/>
      <c r="I55" s="177" t="s">
        <v>158</v>
      </c>
      <c r="J55" s="178" t="s">
        <v>114</v>
      </c>
      <c r="K55" s="212"/>
      <c r="L55" s="181">
        <f>VLOOKUP(B17:B198,PO!C13:J187,8,0)</f>
        <v>73</v>
      </c>
    </row>
    <row r="56" spans="1:12" s="80" customFormat="1">
      <c r="A56" s="312" t="str">
        <f t="shared" si="23"/>
        <v>15~27</v>
      </c>
      <c r="B56" s="145" t="s">
        <v>176</v>
      </c>
      <c r="C56" s="205" t="s">
        <v>374</v>
      </c>
      <c r="D56" s="251"/>
      <c r="E56" s="176">
        <v>10</v>
      </c>
      <c r="F56" s="194" t="s">
        <v>7</v>
      </c>
      <c r="G56" s="190">
        <f t="shared" si="22"/>
        <v>30</v>
      </c>
      <c r="H56" s="403"/>
      <c r="I56" s="177">
        <f>$X$17</f>
        <v>27</v>
      </c>
      <c r="J56" s="178" t="s">
        <v>115</v>
      </c>
      <c r="K56" s="212"/>
      <c r="L56" s="181">
        <f>VLOOKUP(B18:B199,PO!C14:J188,8,0)</f>
        <v>3</v>
      </c>
    </row>
    <row r="57" spans="1:12" s="80" customFormat="1">
      <c r="A57" s="312" t="str">
        <f t="shared" si="23"/>
        <v>15~27</v>
      </c>
      <c r="B57" s="145" t="s">
        <v>179</v>
      </c>
      <c r="C57" s="205" t="s">
        <v>374</v>
      </c>
      <c r="D57" s="251"/>
      <c r="E57" s="176">
        <v>10</v>
      </c>
      <c r="F57" s="194" t="s">
        <v>7</v>
      </c>
      <c r="G57" s="190">
        <f t="shared" si="22"/>
        <v>30</v>
      </c>
      <c r="H57" s="403"/>
      <c r="I57" s="177">
        <f>$Y$17</f>
        <v>28.259999999999998</v>
      </c>
      <c r="J57" s="178" t="s">
        <v>16</v>
      </c>
      <c r="K57" s="212"/>
      <c r="L57" s="181">
        <f>VLOOKUP(B19:B200,PO!C15:J189,8,0)</f>
        <v>3</v>
      </c>
    </row>
    <row r="58" spans="1:12" s="80" customFormat="1">
      <c r="A58" s="312" t="str">
        <f t="shared" si="23"/>
        <v>15~27</v>
      </c>
      <c r="B58" s="145" t="s">
        <v>246</v>
      </c>
      <c r="C58" s="205" t="s">
        <v>291</v>
      </c>
      <c r="D58" s="251"/>
      <c r="E58" s="176">
        <v>10</v>
      </c>
      <c r="F58" s="194" t="s">
        <v>7</v>
      </c>
      <c r="G58" s="190">
        <f t="shared" si="22"/>
        <v>550</v>
      </c>
      <c r="H58" s="403"/>
      <c r="I58" s="177"/>
      <c r="J58" s="178"/>
      <c r="K58" s="212"/>
      <c r="L58" s="181">
        <f>VLOOKUP(B20:B201,PO!C16:J190,8,0)</f>
        <v>55</v>
      </c>
    </row>
    <row r="59" spans="1:12" s="80" customFormat="1">
      <c r="A59" s="312" t="str">
        <f t="shared" si="23"/>
        <v>15~27</v>
      </c>
      <c r="B59" s="145" t="s">
        <v>247</v>
      </c>
      <c r="C59" s="205" t="s">
        <v>443</v>
      </c>
      <c r="D59" s="251"/>
      <c r="E59" s="176">
        <v>15</v>
      </c>
      <c r="F59" s="194" t="s">
        <v>7</v>
      </c>
      <c r="G59" s="190">
        <f t="shared" si="22"/>
        <v>555</v>
      </c>
      <c r="H59" s="403"/>
      <c r="I59" s="252"/>
      <c r="J59" s="253"/>
      <c r="K59" s="212"/>
      <c r="L59" s="181">
        <f>VLOOKUP(B23:B202,PO!C17:J191,8,0)</f>
        <v>37</v>
      </c>
    </row>
    <row r="60" spans="1:12" s="80" customFormat="1">
      <c r="A60" s="312" t="str">
        <f t="shared" si="23"/>
        <v>15~27</v>
      </c>
      <c r="B60" s="145" t="s">
        <v>206</v>
      </c>
      <c r="C60" s="205" t="s">
        <v>467</v>
      </c>
      <c r="D60" s="251"/>
      <c r="E60" s="176">
        <v>10</v>
      </c>
      <c r="F60" s="194" t="s">
        <v>7</v>
      </c>
      <c r="G60" s="190">
        <f t="shared" si="22"/>
        <v>370</v>
      </c>
      <c r="H60" s="403"/>
      <c r="I60" s="252"/>
      <c r="J60" s="253"/>
      <c r="K60" s="212"/>
      <c r="L60" s="181">
        <f>VLOOKUP(B24:B203,PO!C18:J192,8,0)</f>
        <v>37</v>
      </c>
    </row>
    <row r="61" spans="1:12" s="80" customFormat="1">
      <c r="A61" s="312" t="str">
        <f t="shared" si="23"/>
        <v>15~27</v>
      </c>
      <c r="B61" s="145" t="s">
        <v>149</v>
      </c>
      <c r="C61" s="205" t="s">
        <v>291</v>
      </c>
      <c r="D61" s="251"/>
      <c r="E61" s="176">
        <v>5</v>
      </c>
      <c r="F61" s="194" t="s">
        <v>7</v>
      </c>
      <c r="G61" s="190">
        <f t="shared" si="22"/>
        <v>240</v>
      </c>
      <c r="H61" s="403"/>
      <c r="I61" s="252"/>
      <c r="J61" s="253"/>
      <c r="K61" s="212"/>
      <c r="L61" s="181">
        <f>VLOOKUP(B25:B204,PO!C19:J193,8,0)</f>
        <v>48</v>
      </c>
    </row>
    <row r="62" spans="1:12" s="80" customFormat="1">
      <c r="A62" s="312" t="str">
        <f t="shared" si="23"/>
        <v>15~27</v>
      </c>
      <c r="B62" s="145" t="s">
        <v>150</v>
      </c>
      <c r="C62" s="205" t="s">
        <v>294</v>
      </c>
      <c r="D62" s="251"/>
      <c r="E62" s="176">
        <v>9</v>
      </c>
      <c r="F62" s="194" t="s">
        <v>7</v>
      </c>
      <c r="G62" s="190">
        <f t="shared" si="22"/>
        <v>405</v>
      </c>
      <c r="H62" s="403"/>
      <c r="I62" s="252"/>
      <c r="J62" s="253"/>
      <c r="K62" s="212"/>
      <c r="L62" s="181">
        <f>VLOOKUP(B26:B205,PO!C20:J194,8,0)</f>
        <v>45</v>
      </c>
    </row>
    <row r="63" spans="1:12" s="80" customFormat="1">
      <c r="A63" s="312" t="str">
        <f t="shared" si="23"/>
        <v>15~27</v>
      </c>
      <c r="B63" s="145" t="s">
        <v>207</v>
      </c>
      <c r="C63" s="205" t="s">
        <v>294</v>
      </c>
      <c r="D63" s="251"/>
      <c r="E63" s="176">
        <v>10</v>
      </c>
      <c r="F63" s="194" t="s">
        <v>7</v>
      </c>
      <c r="G63" s="190">
        <f t="shared" si="22"/>
        <v>360</v>
      </c>
      <c r="H63" s="403"/>
      <c r="I63" s="252"/>
      <c r="J63" s="253"/>
      <c r="K63" s="212"/>
      <c r="L63" s="181">
        <f>VLOOKUP(B27:B206,PO!C21:J195,8,0)</f>
        <v>36</v>
      </c>
    </row>
    <row r="64" spans="1:12" s="80" customFormat="1" ht="18" thickBot="1">
      <c r="A64" s="386" t="s">
        <v>157</v>
      </c>
      <c r="B64" s="387"/>
      <c r="C64" s="387"/>
      <c r="D64" s="388"/>
      <c r="E64" s="210">
        <f>SUM(E44:E63)</f>
        <v>286</v>
      </c>
      <c r="F64" s="254" t="s">
        <v>7</v>
      </c>
      <c r="G64" s="315">
        <f>SUM(G44:G63)</f>
        <v>20919</v>
      </c>
      <c r="H64" s="315">
        <f>SUM(H44:H63)</f>
        <v>21482</v>
      </c>
      <c r="I64" s="255"/>
      <c r="J64" s="256"/>
      <c r="K64" s="212"/>
      <c r="L64" s="181" t="e">
        <f>VLOOKUP(B33:B205,PO!C20:J194,8,0)</f>
        <v>#N/A</v>
      </c>
    </row>
    <row r="65" spans="1:12" s="80" customFormat="1" ht="18" thickTop="1">
      <c r="A65" s="312" t="s">
        <v>202</v>
      </c>
      <c r="B65" s="145" t="s">
        <v>102</v>
      </c>
      <c r="C65" s="205" t="s">
        <v>353</v>
      </c>
      <c r="D65" s="251"/>
      <c r="E65" s="176">
        <v>3</v>
      </c>
      <c r="F65" s="194" t="s">
        <v>7</v>
      </c>
      <c r="G65" s="190">
        <f t="shared" si="20"/>
        <v>3510</v>
      </c>
      <c r="H65" s="190">
        <f t="shared" ref="H65:H66" si="24">G65+4*E65</f>
        <v>3522</v>
      </c>
      <c r="I65" s="252"/>
      <c r="J65" s="253"/>
      <c r="L65" s="181">
        <f>VLOOKUP(B34:B206,PO!C21:J195,8,0)</f>
        <v>1170</v>
      </c>
    </row>
    <row r="66" spans="1:12" s="80" customFormat="1">
      <c r="A66" s="312" t="s">
        <v>249</v>
      </c>
      <c r="B66" s="145" t="s">
        <v>97</v>
      </c>
      <c r="C66" s="205" t="s">
        <v>353</v>
      </c>
      <c r="D66" s="251"/>
      <c r="E66" s="176">
        <v>8</v>
      </c>
      <c r="F66" s="194" t="s">
        <v>7</v>
      </c>
      <c r="G66" s="190">
        <f t="shared" si="20"/>
        <v>9360</v>
      </c>
      <c r="H66" s="190">
        <f t="shared" si="24"/>
        <v>9392</v>
      </c>
      <c r="I66" s="252"/>
      <c r="J66" s="253"/>
      <c r="L66" s="181">
        <f>VLOOKUP(B35:B207,PO!C22:J196,8,0)</f>
        <v>1170</v>
      </c>
    </row>
    <row r="67" spans="1:12" s="80" customFormat="1">
      <c r="A67" s="312" t="s">
        <v>250</v>
      </c>
      <c r="B67" s="145" t="s">
        <v>262</v>
      </c>
      <c r="C67" s="205" t="s">
        <v>291</v>
      </c>
      <c r="D67" s="251"/>
      <c r="E67" s="176">
        <v>10</v>
      </c>
      <c r="F67" s="194" t="s">
        <v>7</v>
      </c>
      <c r="G67" s="190">
        <f t="shared" si="20"/>
        <v>460</v>
      </c>
      <c r="H67" s="402">
        <f>SUM(G67:G86)+39*16</f>
        <v>7993</v>
      </c>
      <c r="I67" s="252"/>
      <c r="J67" s="253"/>
      <c r="L67" s="181">
        <f>VLOOKUP(B36:B208,PO!C23:J197,8,0)</f>
        <v>46</v>
      </c>
    </row>
    <row r="68" spans="1:12" s="80" customFormat="1">
      <c r="A68" s="312" t="s">
        <v>250</v>
      </c>
      <c r="B68" s="145" t="s">
        <v>263</v>
      </c>
      <c r="C68" s="205" t="s">
        <v>293</v>
      </c>
      <c r="D68" s="251"/>
      <c r="E68" s="176">
        <v>10</v>
      </c>
      <c r="F68" s="194" t="s">
        <v>7</v>
      </c>
      <c r="G68" s="190">
        <f t="shared" ref="G68:G70" si="25">E68*L68</f>
        <v>300</v>
      </c>
      <c r="H68" s="403"/>
      <c r="I68" s="252"/>
      <c r="J68" s="253"/>
      <c r="L68" s="181">
        <f>VLOOKUP(B37:B209,PO!C24:J198,8,0)</f>
        <v>30</v>
      </c>
    </row>
    <row r="69" spans="1:12" s="80" customFormat="1">
      <c r="A69" s="312" t="s">
        <v>250</v>
      </c>
      <c r="B69" s="145" t="s">
        <v>264</v>
      </c>
      <c r="C69" s="205" t="s">
        <v>294</v>
      </c>
      <c r="D69" s="251"/>
      <c r="E69" s="176">
        <v>15</v>
      </c>
      <c r="F69" s="194" t="s">
        <v>7</v>
      </c>
      <c r="G69" s="190">
        <f t="shared" si="25"/>
        <v>630</v>
      </c>
      <c r="H69" s="403"/>
      <c r="I69" s="252"/>
      <c r="J69" s="253"/>
      <c r="L69" s="181">
        <f>VLOOKUP(B38:B210,PO!C25:J199,8,0)</f>
        <v>42</v>
      </c>
    </row>
    <row r="70" spans="1:12" s="80" customFormat="1">
      <c r="A70" s="312" t="s">
        <v>250</v>
      </c>
      <c r="B70" s="145" t="s">
        <v>265</v>
      </c>
      <c r="C70" s="205" t="s">
        <v>295</v>
      </c>
      <c r="D70" s="251"/>
      <c r="E70" s="176">
        <v>5</v>
      </c>
      <c r="F70" s="194" t="s">
        <v>7</v>
      </c>
      <c r="G70" s="190">
        <f t="shared" si="25"/>
        <v>705</v>
      </c>
      <c r="H70" s="403"/>
      <c r="I70" s="252"/>
      <c r="J70" s="253"/>
      <c r="L70" s="181">
        <f>VLOOKUP(B39:B211,PO!C26:J200,8,0)</f>
        <v>141</v>
      </c>
    </row>
    <row r="71" spans="1:12" s="80" customFormat="1">
      <c r="A71" s="312" t="s">
        <v>250</v>
      </c>
      <c r="B71" s="145" t="s">
        <v>266</v>
      </c>
      <c r="C71" s="205" t="s">
        <v>455</v>
      </c>
      <c r="D71" s="251"/>
      <c r="E71" s="176">
        <v>20</v>
      </c>
      <c r="F71" s="194" t="s">
        <v>7</v>
      </c>
      <c r="G71" s="190">
        <f t="shared" si="20"/>
        <v>380</v>
      </c>
      <c r="H71" s="403"/>
      <c r="I71" s="252"/>
      <c r="J71" s="253"/>
      <c r="L71" s="181">
        <f>VLOOKUP(B40:B212,PO!C27:J201,8,0)</f>
        <v>19</v>
      </c>
    </row>
    <row r="72" spans="1:12" s="80" customFormat="1">
      <c r="A72" s="312" t="s">
        <v>250</v>
      </c>
      <c r="B72" s="145" t="s">
        <v>267</v>
      </c>
      <c r="C72" s="205" t="s">
        <v>291</v>
      </c>
      <c r="D72" s="251"/>
      <c r="E72" s="176">
        <v>15</v>
      </c>
      <c r="F72" s="194" t="s">
        <v>7</v>
      </c>
      <c r="G72" s="190">
        <f t="shared" si="20"/>
        <v>645</v>
      </c>
      <c r="H72" s="403"/>
      <c r="I72" s="252"/>
      <c r="J72" s="253"/>
      <c r="L72" s="181">
        <f>VLOOKUP(B38:B210,PO!C25:J199,8,0)</f>
        <v>43</v>
      </c>
    </row>
    <row r="73" spans="1:12" s="80" customFormat="1">
      <c r="A73" s="312" t="s">
        <v>250</v>
      </c>
      <c r="B73" s="145" t="s">
        <v>268</v>
      </c>
      <c r="C73" s="205" t="s">
        <v>294</v>
      </c>
      <c r="D73" s="251"/>
      <c r="E73" s="176">
        <v>16</v>
      </c>
      <c r="F73" s="194" t="s">
        <v>7</v>
      </c>
      <c r="G73" s="190">
        <f t="shared" si="20"/>
        <v>592</v>
      </c>
      <c r="H73" s="403"/>
      <c r="I73" s="177" t="s">
        <v>166</v>
      </c>
      <c r="J73" s="178" t="s">
        <v>114</v>
      </c>
      <c r="L73" s="181">
        <f>VLOOKUP(B39:B211,PO!C26:J200,8,0)</f>
        <v>37</v>
      </c>
    </row>
    <row r="74" spans="1:12" s="80" customFormat="1">
      <c r="A74" s="312" t="s">
        <v>250</v>
      </c>
      <c r="B74" s="145" t="s">
        <v>270</v>
      </c>
      <c r="C74" s="205" t="s">
        <v>295</v>
      </c>
      <c r="D74" s="251"/>
      <c r="E74" s="176">
        <v>3</v>
      </c>
      <c r="F74" s="194" t="s">
        <v>7</v>
      </c>
      <c r="G74" s="190">
        <f t="shared" si="20"/>
        <v>498</v>
      </c>
      <c r="H74" s="403"/>
      <c r="I74" s="177">
        <f>$Z$17</f>
        <v>27</v>
      </c>
      <c r="J74" s="178" t="s">
        <v>115</v>
      </c>
      <c r="L74" s="181">
        <f>VLOOKUP(B40:B212,PO!C27:J201,8,0)</f>
        <v>166</v>
      </c>
    </row>
    <row r="75" spans="1:12" s="80" customFormat="1">
      <c r="A75" s="312" t="s">
        <v>250</v>
      </c>
      <c r="B75" s="145" t="s">
        <v>271</v>
      </c>
      <c r="C75" s="205" t="s">
        <v>455</v>
      </c>
      <c r="D75" s="251"/>
      <c r="E75" s="176">
        <v>10</v>
      </c>
      <c r="F75" s="194" t="s">
        <v>7</v>
      </c>
      <c r="G75" s="190">
        <f t="shared" si="20"/>
        <v>210</v>
      </c>
      <c r="H75" s="403"/>
      <c r="I75" s="177">
        <f>$AA$17</f>
        <v>21.68</v>
      </c>
      <c r="J75" s="178" t="s">
        <v>16</v>
      </c>
      <c r="L75" s="181">
        <f>VLOOKUP(B41:B213,PO!C28:J202,8,0)</f>
        <v>21</v>
      </c>
    </row>
    <row r="76" spans="1:12" s="80" customFormat="1">
      <c r="A76" s="312" t="s">
        <v>250</v>
      </c>
      <c r="B76" s="145" t="s">
        <v>272</v>
      </c>
      <c r="C76" s="205" t="s">
        <v>293</v>
      </c>
      <c r="D76" s="251"/>
      <c r="E76" s="176">
        <v>6</v>
      </c>
      <c r="F76" s="194" t="s">
        <v>7</v>
      </c>
      <c r="G76" s="190">
        <f t="shared" si="20"/>
        <v>168</v>
      </c>
      <c r="H76" s="403"/>
      <c r="I76" s="252"/>
      <c r="J76" s="253"/>
      <c r="L76" s="181">
        <f>VLOOKUP(B42:B214,PO!C29:J203,8,0)</f>
        <v>28</v>
      </c>
    </row>
    <row r="77" spans="1:12" s="80" customFormat="1">
      <c r="A77" s="312" t="s">
        <v>250</v>
      </c>
      <c r="B77" s="145" t="s">
        <v>273</v>
      </c>
      <c r="C77" s="205" t="s">
        <v>467</v>
      </c>
      <c r="D77" s="251"/>
      <c r="E77" s="176">
        <v>6</v>
      </c>
      <c r="F77" s="194" t="s">
        <v>7</v>
      </c>
      <c r="G77" s="190">
        <f t="shared" si="20"/>
        <v>228</v>
      </c>
      <c r="H77" s="403"/>
      <c r="I77" s="252"/>
      <c r="J77" s="253"/>
      <c r="L77" s="181">
        <f>VLOOKUP(B43:B215,PO!C30:J204,8,0)</f>
        <v>38</v>
      </c>
    </row>
    <row r="78" spans="1:12" s="80" customFormat="1">
      <c r="A78" s="312" t="s">
        <v>250</v>
      </c>
      <c r="B78" s="145" t="s">
        <v>274</v>
      </c>
      <c r="C78" s="205" t="s">
        <v>294</v>
      </c>
      <c r="D78" s="251"/>
      <c r="E78" s="176">
        <v>7</v>
      </c>
      <c r="F78" s="194" t="s">
        <v>7</v>
      </c>
      <c r="G78" s="190">
        <f t="shared" si="20"/>
        <v>217</v>
      </c>
      <c r="H78" s="403"/>
      <c r="I78" s="252"/>
      <c r="J78" s="253"/>
      <c r="L78" s="181">
        <f>VLOOKUP(B43:B216,PO!C31:J205,8,0)</f>
        <v>31</v>
      </c>
    </row>
    <row r="79" spans="1:12" s="80" customFormat="1">
      <c r="A79" s="312" t="s">
        <v>250</v>
      </c>
      <c r="B79" s="145" t="s">
        <v>275</v>
      </c>
      <c r="C79" s="205" t="s">
        <v>308</v>
      </c>
      <c r="D79" s="251"/>
      <c r="E79" s="176">
        <v>10</v>
      </c>
      <c r="F79" s="194" t="s">
        <v>7</v>
      </c>
      <c r="G79" s="190">
        <f t="shared" si="20"/>
        <v>260</v>
      </c>
      <c r="H79" s="403"/>
      <c r="I79" s="252"/>
      <c r="J79" s="253"/>
      <c r="L79" s="181">
        <f>VLOOKUP(B43:B217,PO!C32:J206,8,0)</f>
        <v>26</v>
      </c>
    </row>
    <row r="80" spans="1:12" s="80" customFormat="1">
      <c r="A80" s="312" t="str">
        <f t="shared" ref="A80:A85" si="26">A79</f>
        <v>12~27</v>
      </c>
      <c r="B80" s="145" t="s">
        <v>276</v>
      </c>
      <c r="C80" s="205" t="s">
        <v>294</v>
      </c>
      <c r="D80" s="251"/>
      <c r="E80" s="176">
        <v>10</v>
      </c>
      <c r="F80" s="194" t="s">
        <v>7</v>
      </c>
      <c r="G80" s="190">
        <f t="shared" si="20"/>
        <v>430</v>
      </c>
      <c r="H80" s="403"/>
      <c r="I80" s="252"/>
      <c r="J80" s="253"/>
      <c r="L80" s="181">
        <f>VLOOKUP(B43:B218,PO!C33:J207,8,0)</f>
        <v>43</v>
      </c>
    </row>
    <row r="81" spans="1:16" s="80" customFormat="1">
      <c r="A81" s="312" t="str">
        <f t="shared" si="26"/>
        <v>12~27</v>
      </c>
      <c r="B81" s="145" t="s">
        <v>277</v>
      </c>
      <c r="C81" s="205" t="s">
        <v>294</v>
      </c>
      <c r="D81" s="251"/>
      <c r="E81" s="176">
        <v>10</v>
      </c>
      <c r="F81" s="194" t="s">
        <v>7</v>
      </c>
      <c r="G81" s="190">
        <f t="shared" si="20"/>
        <v>380</v>
      </c>
      <c r="H81" s="403"/>
      <c r="I81" s="252"/>
      <c r="J81" s="253"/>
      <c r="L81" s="181">
        <f>VLOOKUP(B43:B219,PO!C34:J208,8,0)</f>
        <v>38</v>
      </c>
    </row>
    <row r="82" spans="1:16" s="80" customFormat="1">
      <c r="A82" s="312" t="str">
        <f t="shared" si="26"/>
        <v>12~27</v>
      </c>
      <c r="B82" s="145" t="s">
        <v>278</v>
      </c>
      <c r="C82" s="205" t="s">
        <v>294</v>
      </c>
      <c r="D82" s="251"/>
      <c r="E82" s="176">
        <v>6</v>
      </c>
      <c r="F82" s="194" t="s">
        <v>7</v>
      </c>
      <c r="G82" s="190">
        <f t="shared" si="20"/>
        <v>342</v>
      </c>
      <c r="H82" s="403"/>
      <c r="I82" s="252"/>
      <c r="J82" s="253"/>
      <c r="L82" s="181">
        <f>VLOOKUP(B44:B220,PO!C35:J209,8,0)</f>
        <v>57</v>
      </c>
    </row>
    <row r="83" spans="1:16" s="80" customFormat="1">
      <c r="A83" s="312" t="str">
        <f t="shared" si="26"/>
        <v>12~27</v>
      </c>
      <c r="B83" s="145" t="s">
        <v>279</v>
      </c>
      <c r="C83" s="205" t="s">
        <v>455</v>
      </c>
      <c r="D83" s="251"/>
      <c r="E83" s="176">
        <v>6</v>
      </c>
      <c r="F83" s="194" t="s">
        <v>7</v>
      </c>
      <c r="G83" s="190">
        <f t="shared" si="20"/>
        <v>138</v>
      </c>
      <c r="H83" s="403"/>
      <c r="I83" s="252"/>
      <c r="J83" s="253"/>
      <c r="L83" s="181">
        <f>VLOOKUP(B45:B221,PO!C36:J210,8,0)</f>
        <v>23</v>
      </c>
    </row>
    <row r="84" spans="1:16" s="80" customFormat="1">
      <c r="A84" s="312" t="str">
        <f t="shared" si="26"/>
        <v>12~27</v>
      </c>
      <c r="B84" s="145" t="s">
        <v>280</v>
      </c>
      <c r="C84" s="205" t="s">
        <v>291</v>
      </c>
      <c r="D84" s="251"/>
      <c r="E84" s="176">
        <v>6</v>
      </c>
      <c r="F84" s="194" t="s">
        <v>7</v>
      </c>
      <c r="G84" s="190">
        <f t="shared" si="20"/>
        <v>384</v>
      </c>
      <c r="H84" s="403"/>
      <c r="I84" s="252"/>
      <c r="J84" s="253"/>
      <c r="L84" s="181">
        <f>VLOOKUP(B46:B222,PO!C37:J211,8,0)</f>
        <v>64</v>
      </c>
    </row>
    <row r="85" spans="1:16" s="80" customFormat="1">
      <c r="A85" s="312" t="str">
        <f t="shared" si="26"/>
        <v>12~27</v>
      </c>
      <c r="B85" s="145" t="s">
        <v>281</v>
      </c>
      <c r="C85" s="205" t="s">
        <v>293</v>
      </c>
      <c r="D85" s="251"/>
      <c r="E85" s="176">
        <v>6</v>
      </c>
      <c r="F85" s="194" t="s">
        <v>7</v>
      </c>
      <c r="G85" s="190">
        <f t="shared" si="20"/>
        <v>240</v>
      </c>
      <c r="H85" s="403"/>
      <c r="I85" s="252"/>
      <c r="J85" s="253"/>
      <c r="L85" s="181">
        <f>VLOOKUP(B47:B223,PO!C38:J212,8,0)</f>
        <v>40</v>
      </c>
    </row>
    <row r="86" spans="1:16" s="80" customFormat="1">
      <c r="A86" s="312" t="str">
        <f>A83</f>
        <v>12~27</v>
      </c>
      <c r="B86" s="145" t="s">
        <v>282</v>
      </c>
      <c r="C86" s="205" t="s">
        <v>467</v>
      </c>
      <c r="D86" s="251"/>
      <c r="E86" s="250">
        <v>6</v>
      </c>
      <c r="F86" s="194" t="s">
        <v>7</v>
      </c>
      <c r="G86" s="190">
        <f t="shared" si="20"/>
        <v>162</v>
      </c>
      <c r="H86" s="404"/>
      <c r="I86" s="252"/>
      <c r="J86" s="253"/>
      <c r="L86" s="181">
        <f>VLOOKUP(B46:B222,PO!C37:J211,8,0)</f>
        <v>27</v>
      </c>
    </row>
    <row r="87" spans="1:16" s="80" customFormat="1" ht="18" thickBot="1">
      <c r="A87" s="386" t="s">
        <v>165</v>
      </c>
      <c r="B87" s="387"/>
      <c r="C87" s="387"/>
      <c r="D87" s="388"/>
      <c r="E87" s="249">
        <f>SUM(E65:E86)</f>
        <v>194</v>
      </c>
      <c r="F87" s="211" t="s">
        <v>7</v>
      </c>
      <c r="G87" s="314">
        <f>SUM(G65:G86)</f>
        <v>20239</v>
      </c>
      <c r="H87" s="314">
        <f>SUM(H65:H86)</f>
        <v>20907</v>
      </c>
      <c r="I87" s="207"/>
      <c r="J87" s="208"/>
      <c r="L87" s="257"/>
    </row>
    <row r="88" spans="1:16" ht="18.600000000000001" thickTop="1" thickBot="1">
      <c r="A88" s="390" t="s">
        <v>51</v>
      </c>
      <c r="B88" s="391"/>
      <c r="C88" s="391"/>
      <c r="D88" s="392"/>
      <c r="E88" s="195">
        <f>E43+E33+E64+E87</f>
        <v>706</v>
      </c>
      <c r="F88" s="316" t="s">
        <v>7</v>
      </c>
      <c r="G88" s="196">
        <f>G43+G33+G64+G87</f>
        <v>83191</v>
      </c>
      <c r="H88" s="196">
        <f>H43+H33+H64+H87</f>
        <v>85154</v>
      </c>
      <c r="I88" s="197"/>
      <c r="J88" s="198"/>
      <c r="L88" s="181" t="e">
        <f>VLOOKUP(B33:B216,PO!C31:J205,8,0)</f>
        <v>#N/A</v>
      </c>
    </row>
    <row r="89" spans="1:16" ht="9.75" customHeight="1" thickTop="1">
      <c r="A89" s="107"/>
      <c r="B89" s="107"/>
      <c r="C89" s="107"/>
      <c r="D89" s="107"/>
      <c r="E89" s="182"/>
      <c r="F89" s="298"/>
      <c r="G89" s="298"/>
      <c r="H89" s="183"/>
      <c r="I89" s="184"/>
      <c r="J89" s="184"/>
      <c r="L89" s="180"/>
    </row>
    <row r="90" spans="1:16">
      <c r="B90" s="76" t="s">
        <v>17</v>
      </c>
      <c r="C90" s="317">
        <f>T18</f>
        <v>97</v>
      </c>
      <c r="D90" s="57" t="str">
        <f>IF(C90=1,"CASE","CASES")</f>
        <v>CASES</v>
      </c>
      <c r="E90" s="191" t="s">
        <v>210</v>
      </c>
      <c r="F90" s="126"/>
      <c r="L90" s="258"/>
    </row>
    <row r="91" spans="1:16">
      <c r="B91" s="76" t="s">
        <v>18</v>
      </c>
      <c r="C91" s="318">
        <f>G88</f>
        <v>83191</v>
      </c>
      <c r="D91" s="57" t="s">
        <v>64</v>
      </c>
      <c r="E91" s="126"/>
      <c r="L91" s="258"/>
    </row>
    <row r="92" spans="1:16">
      <c r="B92" s="76" t="s">
        <v>23</v>
      </c>
      <c r="C92" s="318">
        <f>H88</f>
        <v>85154</v>
      </c>
      <c r="D92" s="57" t="s">
        <v>64</v>
      </c>
      <c r="L92" s="258"/>
    </row>
    <row r="93" spans="1:16">
      <c r="B93" s="76" t="s">
        <v>24</v>
      </c>
      <c r="C93" s="318">
        <f>T19</f>
        <v>100.72999999999999</v>
      </c>
      <c r="D93" s="57" t="s">
        <v>16</v>
      </c>
      <c r="G93" s="244"/>
      <c r="H93" s="244"/>
      <c r="I93" s="244"/>
      <c r="J93" s="244"/>
      <c r="L93" s="258"/>
      <c r="N93" s="192" t="s">
        <v>63</v>
      </c>
      <c r="P93" s="172">
        <f>E88-PO!F82</f>
        <v>0</v>
      </c>
    </row>
    <row r="94" spans="1:16">
      <c r="A94" s="76"/>
      <c r="B94" s="76" t="s">
        <v>211</v>
      </c>
      <c r="C94" s="285" t="s">
        <v>252</v>
      </c>
      <c r="D94" s="129" t="s">
        <v>256</v>
      </c>
      <c r="E94" s="285"/>
      <c r="G94" s="382"/>
      <c r="H94" s="382"/>
      <c r="I94" s="382"/>
      <c r="J94" s="382"/>
      <c r="L94" s="258"/>
      <c r="N94" s="192" t="s">
        <v>128</v>
      </c>
      <c r="P94" s="172">
        <f>C91-PO!K82</f>
        <v>0</v>
      </c>
    </row>
    <row r="95" spans="1:16">
      <c r="A95" s="154"/>
      <c r="B95" s="76" t="s">
        <v>123</v>
      </c>
      <c r="C95" s="285" t="s">
        <v>253</v>
      </c>
      <c r="D95" s="129" t="s">
        <v>257</v>
      </c>
      <c r="E95" s="285"/>
      <c r="G95" s="76"/>
      <c r="H95" s="59"/>
      <c r="I95" s="76"/>
      <c r="L95" s="258"/>
      <c r="N95" s="186"/>
      <c r="P95" s="187"/>
    </row>
    <row r="96" spans="1:16">
      <c r="A96" s="154"/>
      <c r="B96" s="76" t="s">
        <v>159</v>
      </c>
      <c r="C96" s="285" t="s">
        <v>254</v>
      </c>
      <c r="D96" s="129" t="s">
        <v>258</v>
      </c>
      <c r="E96" s="285"/>
      <c r="G96" s="302"/>
      <c r="H96" s="302"/>
      <c r="I96" s="302"/>
      <c r="J96" s="302"/>
      <c r="L96" s="185"/>
      <c r="N96" s="186"/>
      <c r="P96" s="187"/>
    </row>
    <row r="97" spans="1:16">
      <c r="A97" s="154"/>
      <c r="B97" s="76" t="s">
        <v>167</v>
      </c>
      <c r="C97" s="285" t="s">
        <v>255</v>
      </c>
      <c r="D97" s="129" t="s">
        <v>259</v>
      </c>
      <c r="E97" s="285"/>
      <c r="G97" s="302"/>
      <c r="H97" s="302"/>
      <c r="I97" s="302"/>
      <c r="J97" s="302"/>
      <c r="L97" s="185"/>
      <c r="N97" s="186"/>
      <c r="P97" s="187"/>
    </row>
    <row r="98" spans="1:16">
      <c r="A98" s="154"/>
      <c r="B98" s="76"/>
      <c r="C98" s="76"/>
      <c r="E98" s="76"/>
      <c r="G98" s="244"/>
      <c r="H98" s="244"/>
      <c r="I98" s="244"/>
      <c r="J98" s="244"/>
      <c r="L98" s="185"/>
      <c r="N98" s="186"/>
      <c r="P98" s="187"/>
    </row>
    <row r="99" spans="1:16">
      <c r="A99" s="154"/>
      <c r="B99" s="76"/>
      <c r="C99" s="294"/>
      <c r="D99" s="295"/>
      <c r="E99" s="76"/>
      <c r="G99" s="378"/>
      <c r="H99" s="378"/>
      <c r="I99" s="378"/>
      <c r="J99" s="378"/>
      <c r="L99" s="185"/>
      <c r="N99" s="186"/>
      <c r="P99" s="187"/>
    </row>
    <row r="100" spans="1:16">
      <c r="A100" s="154"/>
      <c r="B100" s="76"/>
      <c r="C100" s="76"/>
      <c r="D100" s="319"/>
      <c r="E100" s="76"/>
      <c r="G100" s="398"/>
      <c r="H100" s="398"/>
      <c r="I100" s="398"/>
      <c r="J100" s="398"/>
      <c r="L100" s="185"/>
      <c r="N100" s="186"/>
      <c r="P100" s="187"/>
    </row>
    <row r="101" spans="1:16">
      <c r="A101" s="154"/>
      <c r="B101" s="76"/>
      <c r="C101" s="76"/>
      <c r="D101" s="319"/>
      <c r="E101" s="76"/>
      <c r="G101" s="300"/>
      <c r="H101" s="300"/>
      <c r="I101" s="300"/>
      <c r="J101" s="300"/>
      <c r="L101" s="185"/>
      <c r="N101" s="186"/>
      <c r="P101" s="187"/>
    </row>
    <row r="102" spans="1:16">
      <c r="A102" s="154"/>
      <c r="B102" s="76"/>
      <c r="C102" s="76"/>
      <c r="D102" s="319"/>
      <c r="E102" s="76"/>
      <c r="L102" s="185"/>
      <c r="N102" s="186"/>
      <c r="P102" s="187"/>
    </row>
    <row r="103" spans="1:16">
      <c r="A103" s="154"/>
      <c r="B103" s="76"/>
      <c r="C103" s="320"/>
      <c r="D103" s="321"/>
      <c r="E103" s="154"/>
      <c r="L103" s="185"/>
      <c r="N103" s="186"/>
      <c r="P103" s="187"/>
    </row>
    <row r="104" spans="1:16">
      <c r="A104" s="154"/>
      <c r="B104" s="76"/>
      <c r="C104" s="320"/>
      <c r="D104" s="321"/>
      <c r="E104" s="154"/>
      <c r="L104" s="185"/>
      <c r="N104" s="186"/>
      <c r="P104" s="187"/>
    </row>
    <row r="105" spans="1:16">
      <c r="A105" s="154"/>
      <c r="B105" s="76"/>
      <c r="C105" s="320"/>
      <c r="D105" s="321"/>
      <c r="E105" s="154"/>
      <c r="G105" s="59"/>
      <c r="H105" s="59"/>
      <c r="I105" s="59"/>
      <c r="J105" s="59"/>
      <c r="L105" s="185"/>
      <c r="N105" s="186"/>
      <c r="P105" s="187"/>
    </row>
    <row r="106" spans="1:16">
      <c r="A106" s="154"/>
      <c r="B106" s="76"/>
      <c r="C106" s="320"/>
      <c r="D106" s="321"/>
      <c r="E106" s="154"/>
      <c r="L106" s="185"/>
      <c r="N106" s="186"/>
      <c r="P106" s="187"/>
    </row>
    <row r="107" spans="1:16">
      <c r="A107" s="154"/>
      <c r="B107" s="76"/>
      <c r="C107" s="320"/>
      <c r="D107" s="321"/>
      <c r="E107" s="154"/>
      <c r="L107" s="185"/>
      <c r="N107" s="186"/>
      <c r="P107" s="187"/>
    </row>
    <row r="108" spans="1:16">
      <c r="A108" s="154"/>
      <c r="B108" s="76"/>
      <c r="C108" s="320"/>
      <c r="D108" s="321"/>
      <c r="E108" s="154"/>
      <c r="L108" s="185"/>
      <c r="N108" s="186"/>
      <c r="P108" s="187"/>
    </row>
    <row r="109" spans="1:16">
      <c r="A109" s="154"/>
      <c r="B109" s="76"/>
      <c r="C109" s="320"/>
      <c r="D109" s="321"/>
      <c r="E109" s="154"/>
      <c r="L109" s="185"/>
      <c r="N109" s="186"/>
      <c r="P109" s="187"/>
    </row>
    <row r="110" spans="1:16">
      <c r="A110" s="154"/>
      <c r="B110" s="76"/>
      <c r="E110" s="154"/>
      <c r="G110" s="59"/>
      <c r="H110" s="59"/>
      <c r="I110" s="59"/>
      <c r="J110" s="59"/>
      <c r="L110" s="185"/>
      <c r="N110" s="186"/>
      <c r="P110" s="187"/>
    </row>
    <row r="111" spans="1:16">
      <c r="A111" s="154"/>
      <c r="B111" s="76"/>
      <c r="E111" s="154"/>
      <c r="G111" s="59"/>
      <c r="H111" s="59"/>
      <c r="I111" s="59"/>
      <c r="J111" s="59"/>
      <c r="L111" s="185"/>
      <c r="N111" s="186"/>
      <c r="P111" s="187"/>
    </row>
    <row r="112" spans="1:16">
      <c r="A112" s="154"/>
      <c r="B112" s="76"/>
      <c r="E112" s="154"/>
      <c r="G112" s="300"/>
      <c r="H112" s="300"/>
      <c r="I112" s="300"/>
      <c r="J112" s="300"/>
      <c r="L112" s="185"/>
      <c r="N112" s="186"/>
      <c r="P112" s="187"/>
    </row>
    <row r="113" spans="1:16">
      <c r="A113" s="154"/>
      <c r="B113" s="76"/>
      <c r="E113" s="154"/>
      <c r="G113" s="59"/>
      <c r="H113" s="59"/>
      <c r="I113" s="59"/>
      <c r="J113" s="59"/>
      <c r="L113" s="185"/>
      <c r="N113" s="186"/>
      <c r="P113" s="187"/>
    </row>
    <row r="114" spans="1:16" ht="18.600000000000001">
      <c r="A114" s="154"/>
      <c r="B114" s="76"/>
      <c r="C114" s="322"/>
      <c r="D114" s="323"/>
      <c r="E114" s="154"/>
      <c r="G114" s="59"/>
      <c r="H114" s="59"/>
      <c r="I114" s="59"/>
      <c r="J114" s="59"/>
      <c r="L114" s="185"/>
      <c r="N114" s="186"/>
      <c r="P114" s="187"/>
    </row>
    <row r="115" spans="1:16">
      <c r="A115" s="154"/>
      <c r="B115" s="76"/>
      <c r="C115" s="76"/>
      <c r="E115" s="154"/>
      <c r="L115" s="185"/>
      <c r="N115" s="186"/>
      <c r="P115" s="187"/>
    </row>
    <row r="116" spans="1:16">
      <c r="A116" s="154"/>
      <c r="B116" s="76"/>
      <c r="C116" s="76"/>
      <c r="E116" s="154"/>
      <c r="L116" s="185"/>
      <c r="N116" s="186"/>
      <c r="P116" s="187"/>
    </row>
    <row r="117" spans="1:16">
      <c r="A117" s="154"/>
      <c r="B117" s="76"/>
      <c r="C117" s="76"/>
      <c r="E117" s="154"/>
      <c r="L117" s="185"/>
      <c r="N117" s="186"/>
      <c r="P117" s="187"/>
    </row>
    <row r="118" spans="1:16">
      <c r="A118" s="154"/>
      <c r="B118" s="76"/>
      <c r="C118" s="76"/>
      <c r="E118" s="154"/>
      <c r="L118" s="185"/>
      <c r="N118" s="186"/>
      <c r="P118" s="187"/>
    </row>
    <row r="119" spans="1:16">
      <c r="A119" s="154"/>
      <c r="B119" s="76"/>
      <c r="C119" s="76"/>
      <c r="E119" s="154"/>
      <c r="G119" s="370"/>
      <c r="H119" s="370"/>
      <c r="I119" s="370"/>
      <c r="J119" s="370"/>
      <c r="L119" s="185"/>
      <c r="N119" s="186"/>
      <c r="P119" s="187"/>
    </row>
    <row r="120" spans="1:16">
      <c r="A120" s="154"/>
      <c r="B120" s="76"/>
      <c r="C120" s="76"/>
      <c r="E120" s="154"/>
      <c r="G120" s="379"/>
      <c r="H120" s="379"/>
      <c r="I120" s="379"/>
      <c r="J120" s="379"/>
      <c r="L120" s="185"/>
      <c r="N120" s="186"/>
      <c r="P120" s="187"/>
    </row>
    <row r="121" spans="1:16">
      <c r="A121" s="154"/>
      <c r="B121" s="76"/>
      <c r="C121" s="76"/>
      <c r="E121" s="154"/>
      <c r="L121" s="185"/>
      <c r="N121" s="186"/>
      <c r="P121" s="187"/>
    </row>
    <row r="122" spans="1:16">
      <c r="A122" s="154"/>
      <c r="B122" s="154"/>
      <c r="C122" s="154"/>
      <c r="D122" s="72"/>
      <c r="E122" s="154"/>
      <c r="L122" s="185"/>
    </row>
    <row r="123" spans="1:16">
      <c r="A123" s="154"/>
      <c r="B123" s="154"/>
      <c r="C123" s="154"/>
      <c r="D123" s="72"/>
      <c r="E123" s="154"/>
      <c r="G123" s="370"/>
      <c r="H123" s="370"/>
      <c r="I123" s="370"/>
      <c r="J123" s="370"/>
      <c r="L123" s="185"/>
    </row>
    <row r="124" spans="1:16">
      <c r="A124" s="154"/>
      <c r="B124" s="154"/>
      <c r="C124" s="324"/>
      <c r="D124" s="298"/>
      <c r="E124" s="72"/>
      <c r="G124" s="379"/>
      <c r="H124" s="379"/>
      <c r="I124" s="379"/>
      <c r="J124" s="379"/>
    </row>
    <row r="125" spans="1:16">
      <c r="A125" s="154"/>
      <c r="B125" s="154"/>
      <c r="C125" s="72"/>
      <c r="D125" s="188"/>
      <c r="E125" s="72"/>
      <c r="G125" s="59"/>
      <c r="H125" s="59"/>
      <c r="I125" s="59"/>
      <c r="J125" s="59"/>
    </row>
    <row r="126" spans="1:16">
      <c r="A126" s="154"/>
      <c r="B126" s="154"/>
      <c r="C126" s="298"/>
      <c r="D126" s="188"/>
      <c r="E126" s="72"/>
      <c r="G126" s="59"/>
      <c r="H126" s="59"/>
      <c r="I126" s="59"/>
      <c r="J126" s="59"/>
    </row>
    <row r="127" spans="1:16">
      <c r="A127" s="154"/>
      <c r="B127" s="154"/>
      <c r="C127" s="298"/>
      <c r="D127" s="188"/>
      <c r="E127" s="72"/>
      <c r="G127" s="59"/>
      <c r="H127" s="59"/>
      <c r="I127" s="59"/>
      <c r="J127" s="59"/>
    </row>
    <row r="128" spans="1:16">
      <c r="A128" s="154"/>
      <c r="B128" s="154"/>
      <c r="C128" s="298"/>
      <c r="D128" s="188"/>
      <c r="E128" s="72"/>
      <c r="G128" s="59"/>
      <c r="H128" s="59"/>
      <c r="I128" s="59"/>
      <c r="J128" s="59"/>
    </row>
    <row r="129" spans="1:10">
      <c r="A129" s="154"/>
      <c r="B129" s="154"/>
      <c r="C129" s="298"/>
      <c r="D129" s="188"/>
      <c r="E129" s="72"/>
    </row>
    <row r="130" spans="1:10">
      <c r="A130" s="154"/>
      <c r="B130" s="154"/>
      <c r="C130" s="298"/>
      <c r="D130" s="188"/>
      <c r="E130" s="72"/>
    </row>
    <row r="131" spans="1:10">
      <c r="A131" s="154"/>
      <c r="B131" s="154"/>
      <c r="C131" s="298"/>
      <c r="D131" s="188"/>
      <c r="E131" s="72"/>
    </row>
    <row r="132" spans="1:10">
      <c r="A132" s="154"/>
      <c r="B132" s="154"/>
      <c r="C132" s="298"/>
      <c r="D132" s="188"/>
      <c r="E132" s="72"/>
    </row>
    <row r="133" spans="1:10">
      <c r="A133" s="154"/>
      <c r="B133" s="154"/>
      <c r="C133" s="298"/>
      <c r="D133" s="188"/>
      <c r="E133" s="72"/>
      <c r="G133" s="59"/>
      <c r="H133" s="59"/>
      <c r="I133" s="59"/>
      <c r="J133" s="59"/>
    </row>
    <row r="134" spans="1:10">
      <c r="A134" s="154"/>
      <c r="B134" s="154"/>
      <c r="C134" s="298"/>
      <c r="D134" s="188"/>
      <c r="E134" s="72"/>
      <c r="G134" s="59"/>
      <c r="H134" s="59"/>
      <c r="I134" s="59"/>
      <c r="J134" s="59"/>
    </row>
    <row r="135" spans="1:10">
      <c r="A135" s="154"/>
      <c r="B135" s="154"/>
      <c r="C135" s="298"/>
      <c r="D135" s="188"/>
      <c r="E135" s="72"/>
      <c r="G135" s="59"/>
      <c r="H135" s="59"/>
      <c r="I135" s="59"/>
      <c r="J135" s="59"/>
    </row>
    <row r="136" spans="1:10">
      <c r="B136" s="154"/>
      <c r="C136" s="188"/>
      <c r="D136" s="188"/>
      <c r="E136" s="72"/>
      <c r="G136" s="59"/>
      <c r="H136" s="59"/>
      <c r="I136" s="59"/>
      <c r="J136" s="59"/>
    </row>
    <row r="137" spans="1:10">
      <c r="B137" s="154"/>
      <c r="C137" s="188"/>
      <c r="D137" s="188"/>
      <c r="E137" s="72"/>
      <c r="G137" s="59"/>
      <c r="H137" s="59"/>
      <c r="I137" s="59"/>
      <c r="J137" s="59"/>
    </row>
    <row r="138" spans="1:10">
      <c r="B138" s="154"/>
      <c r="C138" s="72"/>
      <c r="D138" s="325"/>
      <c r="E138" s="72"/>
      <c r="G138" s="59"/>
      <c r="H138" s="59"/>
      <c r="I138" s="59"/>
      <c r="J138" s="59"/>
    </row>
    <row r="139" spans="1:10">
      <c r="B139" s="154"/>
      <c r="C139" s="72"/>
      <c r="D139" s="325"/>
      <c r="E139" s="72"/>
    </row>
    <row r="140" spans="1:10">
      <c r="B140" s="154"/>
      <c r="C140" s="325"/>
      <c r="D140" s="325"/>
      <c r="E140" s="72"/>
      <c r="G140" s="59"/>
      <c r="H140" s="297"/>
      <c r="I140" s="59"/>
    </row>
    <row r="141" spans="1:10">
      <c r="B141" s="154"/>
      <c r="C141" s="326"/>
      <c r="D141" s="325"/>
      <c r="E141" s="72"/>
      <c r="G141" s="59"/>
      <c r="H141" s="297"/>
      <c r="I141" s="59"/>
    </row>
    <row r="142" spans="1:10">
      <c r="B142" s="154"/>
      <c r="C142" s="326"/>
      <c r="D142" s="325"/>
      <c r="E142" s="72"/>
      <c r="G142" s="59"/>
      <c r="H142" s="59"/>
      <c r="I142" s="59"/>
    </row>
    <row r="143" spans="1:10">
      <c r="B143" s="154"/>
      <c r="C143" s="326"/>
      <c r="D143" s="325"/>
      <c r="E143" s="72"/>
      <c r="G143" s="59"/>
      <c r="H143" s="59"/>
      <c r="I143" s="59"/>
    </row>
    <row r="144" spans="1:10">
      <c r="B144" s="154"/>
      <c r="C144" s="326"/>
      <c r="D144" s="325"/>
      <c r="E144" s="72"/>
      <c r="G144" s="59"/>
      <c r="H144" s="59"/>
      <c r="I144" s="59"/>
    </row>
    <row r="145" spans="2:9">
      <c r="B145" s="154"/>
      <c r="C145" s="326"/>
      <c r="D145" s="325"/>
      <c r="E145" s="72"/>
      <c r="G145" s="59"/>
      <c r="H145" s="59"/>
      <c r="I145" s="59"/>
    </row>
    <row r="146" spans="2:9">
      <c r="B146" s="154"/>
      <c r="C146" s="326"/>
      <c r="D146" s="325"/>
      <c r="E146" s="72"/>
      <c r="G146" s="59"/>
      <c r="H146" s="59"/>
      <c r="I146" s="59"/>
    </row>
    <row r="147" spans="2:9">
      <c r="B147" s="154"/>
      <c r="C147" s="327"/>
      <c r="D147" s="188"/>
      <c r="E147" s="72"/>
      <c r="G147" s="59"/>
      <c r="H147" s="59"/>
      <c r="I147" s="59"/>
    </row>
    <row r="148" spans="2:9">
      <c r="B148" s="328"/>
      <c r="C148" s="188"/>
      <c r="D148" s="188"/>
      <c r="E148" s="80"/>
      <c r="G148" s="59"/>
      <c r="H148" s="59"/>
      <c r="I148" s="59"/>
    </row>
    <row r="149" spans="2:9">
      <c r="B149" s="328"/>
      <c r="C149" s="188"/>
      <c r="D149" s="188"/>
      <c r="E149" s="80"/>
      <c r="G149" s="59"/>
      <c r="H149" s="59"/>
      <c r="I149" s="59"/>
    </row>
    <row r="150" spans="2:9">
      <c r="B150" s="328"/>
      <c r="C150" s="188"/>
      <c r="D150" s="188"/>
      <c r="E150" s="80"/>
      <c r="G150" s="59"/>
      <c r="H150" s="59"/>
      <c r="I150" s="59"/>
    </row>
    <row r="151" spans="2:9">
      <c r="B151" s="328"/>
      <c r="C151" s="188"/>
      <c r="D151" s="188"/>
      <c r="E151" s="80"/>
      <c r="G151" s="59"/>
      <c r="H151" s="59"/>
      <c r="I151" s="59"/>
    </row>
    <row r="152" spans="2:9">
      <c r="G152" s="59"/>
      <c r="H152" s="59"/>
      <c r="I152" s="59"/>
    </row>
    <row r="153" spans="2:9">
      <c r="G153" s="59"/>
      <c r="H153" s="59"/>
      <c r="I153" s="59"/>
    </row>
    <row r="154" spans="2:9">
      <c r="G154" s="59"/>
      <c r="H154" s="59"/>
      <c r="I154" s="59"/>
    </row>
    <row r="155" spans="2:9">
      <c r="G155" s="59"/>
      <c r="H155" s="59"/>
      <c r="I155" s="59"/>
    </row>
    <row r="156" spans="2:9">
      <c r="G156" s="59"/>
      <c r="H156" s="59"/>
      <c r="I156" s="59"/>
    </row>
    <row r="157" spans="2:9">
      <c r="G157" s="59"/>
      <c r="H157" s="59"/>
      <c r="I157" s="59"/>
    </row>
    <row r="158" spans="2:9">
      <c r="G158" s="59"/>
      <c r="H158" s="59"/>
      <c r="I158" s="59"/>
    </row>
    <row r="159" spans="2:9">
      <c r="G159" s="59"/>
      <c r="H159" s="59"/>
      <c r="I159" s="59"/>
    </row>
    <row r="160" spans="2:9">
      <c r="G160" s="59"/>
      <c r="H160" s="59"/>
      <c r="I160" s="59"/>
    </row>
  </sheetData>
  <mergeCells count="25">
    <mergeCell ref="T19:U19"/>
    <mergeCell ref="G124:J124"/>
    <mergeCell ref="G123:J123"/>
    <mergeCell ref="G119:J119"/>
    <mergeCell ref="G120:J120"/>
    <mergeCell ref="G100:J100"/>
    <mergeCell ref="G99:J99"/>
    <mergeCell ref="G94:J94"/>
    <mergeCell ref="H37:H42"/>
    <mergeCell ref="H47:H63"/>
    <mergeCell ref="H67:H86"/>
    <mergeCell ref="H21:H32"/>
    <mergeCell ref="A87:D87"/>
    <mergeCell ref="A5:J5"/>
    <mergeCell ref="A88:D88"/>
    <mergeCell ref="E17:F17"/>
    <mergeCell ref="A18:C18"/>
    <mergeCell ref="G11:I11"/>
    <mergeCell ref="G10:I10"/>
    <mergeCell ref="G9:J9"/>
    <mergeCell ref="I17:J17"/>
    <mergeCell ref="H8:I8"/>
    <mergeCell ref="A43:D43"/>
    <mergeCell ref="A33:D33"/>
    <mergeCell ref="A64:D64"/>
  </mergeCells>
  <phoneticPr fontId="172" type="noConversion"/>
  <conditionalFormatting sqref="B19:B32">
    <cfRule type="expression" dxfId="4" priority="5">
      <formula>IF($J19="machining",1,0)</formula>
    </cfRule>
  </conditionalFormatting>
  <conditionalFormatting sqref="B34:B42">
    <cfRule type="expression" dxfId="3" priority="12">
      <formula>IF($J34="machining",1,0)</formula>
    </cfRule>
  </conditionalFormatting>
  <conditionalFormatting sqref="B44:B63">
    <cfRule type="expression" dxfId="2" priority="3">
      <formula>IF($J44="machining",1,0)</formula>
    </cfRule>
  </conditionalFormatting>
  <conditionalFormatting sqref="B65:B86">
    <cfRule type="expression" dxfId="1" priority="1">
      <formula>IF($J65="machining",1,0)</formula>
    </cfRule>
  </conditionalFormatting>
  <conditionalFormatting sqref="N7:N8">
    <cfRule type="expression" dxfId="0" priority="257">
      <formula>IF($H7="machining",1,0)</formula>
    </cfRule>
  </conditionalFormatting>
  <printOptions horizontalCentered="1"/>
  <pageMargins left="0.31496062992125984" right="0.15748031496062992" top="0.43307086614173229" bottom="0.51181102362204722" header="0.23622047244094491" footer="0.15748031496062992"/>
  <pageSetup paperSize="9" scale="80" orientation="portrait" r:id="rId1"/>
  <headerFooter alignWithMargins="0">
    <oddHeader>&amp;R&amp;Pof&amp;N</oddHeader>
    <oddFooter>&amp;C&amp;"Arial,Italic"Thank you for your business.&amp;"Arial,Regular"</oddFooter>
  </headerFooter>
  <rowBreaks count="1" manualBreakCount="1">
    <brk id="114" max="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C673F-AE07-4CB7-AA5A-3A6BA9770B45}">
  <dimension ref="A1:O32"/>
  <sheetViews>
    <sheetView view="pageBreakPreview" zoomScaleNormal="100" zoomScaleSheetLayoutView="100" workbookViewId="0">
      <selection activeCell="N10" sqref="N10:N11"/>
    </sheetView>
  </sheetViews>
  <sheetFormatPr defaultRowHeight="17.399999999999999"/>
  <cols>
    <col min="1" max="1" width="5.6640625" style="221" customWidth="1"/>
    <col min="2" max="2" width="16.6640625" style="221" customWidth="1"/>
    <col min="3" max="3" width="20.109375" style="221" customWidth="1"/>
    <col min="4" max="4" width="13" style="221" customWidth="1"/>
    <col min="5" max="5" width="11.109375" style="221" customWidth="1"/>
    <col min="6" max="6" width="15.44140625" style="221" customWidth="1"/>
    <col min="7" max="7" width="8.33203125" style="221" customWidth="1"/>
    <col min="8" max="9" width="10.5546875" style="221" customWidth="1"/>
    <col min="10" max="10" width="6" style="221" customWidth="1"/>
    <col min="11" max="11" width="9.5546875" style="221" customWidth="1"/>
    <col min="12" max="12" width="10.44140625" style="221" customWidth="1"/>
    <col min="13" max="13" width="9.109375" style="221"/>
    <col min="14" max="14" width="13.6640625" style="221" bestFit="1" customWidth="1"/>
    <col min="15" max="15" width="13.33203125" style="221" bestFit="1" customWidth="1"/>
    <col min="16" max="256" width="9.109375" style="221"/>
    <col min="257" max="257" width="5.6640625" style="221" customWidth="1"/>
    <col min="258" max="258" width="15.5546875" style="221" customWidth="1"/>
    <col min="259" max="259" width="17.44140625" style="221" customWidth="1"/>
    <col min="260" max="260" width="14.44140625" style="221" customWidth="1"/>
    <col min="261" max="261" width="11.109375" style="221" customWidth="1"/>
    <col min="262" max="262" width="15.44140625" style="221" customWidth="1"/>
    <col min="263" max="263" width="8.33203125" style="221" customWidth="1"/>
    <col min="264" max="265" width="10.5546875" style="221" customWidth="1"/>
    <col min="266" max="266" width="6" style="221" customWidth="1"/>
    <col min="267" max="267" width="9.5546875" style="221" customWidth="1"/>
    <col min="268" max="268" width="10.44140625" style="221" customWidth="1"/>
    <col min="269" max="512" width="9.109375" style="221"/>
    <col min="513" max="513" width="5.6640625" style="221" customWidth="1"/>
    <col min="514" max="514" width="15.5546875" style="221" customWidth="1"/>
    <col min="515" max="515" width="17.44140625" style="221" customWidth="1"/>
    <col min="516" max="516" width="14.44140625" style="221" customWidth="1"/>
    <col min="517" max="517" width="11.109375" style="221" customWidth="1"/>
    <col min="518" max="518" width="15.44140625" style="221" customWidth="1"/>
    <col min="519" max="519" width="8.33203125" style="221" customWidth="1"/>
    <col min="520" max="521" width="10.5546875" style="221" customWidth="1"/>
    <col min="522" max="522" width="6" style="221" customWidth="1"/>
    <col min="523" max="523" width="9.5546875" style="221" customWidth="1"/>
    <col min="524" max="524" width="10.44140625" style="221" customWidth="1"/>
    <col min="525" max="768" width="9.109375" style="221"/>
    <col min="769" max="769" width="5.6640625" style="221" customWidth="1"/>
    <col min="770" max="770" width="15.5546875" style="221" customWidth="1"/>
    <col min="771" max="771" width="17.44140625" style="221" customWidth="1"/>
    <col min="772" max="772" width="14.44140625" style="221" customWidth="1"/>
    <col min="773" max="773" width="11.109375" style="221" customWidth="1"/>
    <col min="774" max="774" width="15.44140625" style="221" customWidth="1"/>
    <col min="775" max="775" width="8.33203125" style="221" customWidth="1"/>
    <col min="776" max="777" width="10.5546875" style="221" customWidth="1"/>
    <col min="778" max="778" width="6" style="221" customWidth="1"/>
    <col min="779" max="779" width="9.5546875" style="221" customWidth="1"/>
    <col min="780" max="780" width="10.44140625" style="221" customWidth="1"/>
    <col min="781" max="1024" width="9.109375" style="221"/>
    <col min="1025" max="1025" width="5.6640625" style="221" customWidth="1"/>
    <col min="1026" max="1026" width="15.5546875" style="221" customWidth="1"/>
    <col min="1027" max="1027" width="17.44140625" style="221" customWidth="1"/>
    <col min="1028" max="1028" width="14.44140625" style="221" customWidth="1"/>
    <col min="1029" max="1029" width="11.109375" style="221" customWidth="1"/>
    <col min="1030" max="1030" width="15.44140625" style="221" customWidth="1"/>
    <col min="1031" max="1031" width="8.33203125" style="221" customWidth="1"/>
    <col min="1032" max="1033" width="10.5546875" style="221" customWidth="1"/>
    <col min="1034" max="1034" width="6" style="221" customWidth="1"/>
    <col min="1035" max="1035" width="9.5546875" style="221" customWidth="1"/>
    <col min="1036" max="1036" width="10.44140625" style="221" customWidth="1"/>
    <col min="1037" max="1280" width="9.109375" style="221"/>
    <col min="1281" max="1281" width="5.6640625" style="221" customWidth="1"/>
    <col min="1282" max="1282" width="15.5546875" style="221" customWidth="1"/>
    <col min="1283" max="1283" width="17.44140625" style="221" customWidth="1"/>
    <col min="1284" max="1284" width="14.44140625" style="221" customWidth="1"/>
    <col min="1285" max="1285" width="11.109375" style="221" customWidth="1"/>
    <col min="1286" max="1286" width="15.44140625" style="221" customWidth="1"/>
    <col min="1287" max="1287" width="8.33203125" style="221" customWidth="1"/>
    <col min="1288" max="1289" width="10.5546875" style="221" customWidth="1"/>
    <col min="1290" max="1290" width="6" style="221" customWidth="1"/>
    <col min="1291" max="1291" width="9.5546875" style="221" customWidth="1"/>
    <col min="1292" max="1292" width="10.44140625" style="221" customWidth="1"/>
    <col min="1293" max="1536" width="9.109375" style="221"/>
    <col min="1537" max="1537" width="5.6640625" style="221" customWidth="1"/>
    <col min="1538" max="1538" width="15.5546875" style="221" customWidth="1"/>
    <col min="1539" max="1539" width="17.44140625" style="221" customWidth="1"/>
    <col min="1540" max="1540" width="14.44140625" style="221" customWidth="1"/>
    <col min="1541" max="1541" width="11.109375" style="221" customWidth="1"/>
    <col min="1542" max="1542" width="15.44140625" style="221" customWidth="1"/>
    <col min="1543" max="1543" width="8.33203125" style="221" customWidth="1"/>
    <col min="1544" max="1545" width="10.5546875" style="221" customWidth="1"/>
    <col min="1546" max="1546" width="6" style="221" customWidth="1"/>
    <col min="1547" max="1547" width="9.5546875" style="221" customWidth="1"/>
    <col min="1548" max="1548" width="10.44140625" style="221" customWidth="1"/>
    <col min="1549" max="1792" width="9.109375" style="221"/>
    <col min="1793" max="1793" width="5.6640625" style="221" customWidth="1"/>
    <col min="1794" max="1794" width="15.5546875" style="221" customWidth="1"/>
    <col min="1795" max="1795" width="17.44140625" style="221" customWidth="1"/>
    <col min="1796" max="1796" width="14.44140625" style="221" customWidth="1"/>
    <col min="1797" max="1797" width="11.109375" style="221" customWidth="1"/>
    <col min="1798" max="1798" width="15.44140625" style="221" customWidth="1"/>
    <col min="1799" max="1799" width="8.33203125" style="221" customWidth="1"/>
    <col min="1800" max="1801" width="10.5546875" style="221" customWidth="1"/>
    <col min="1802" max="1802" width="6" style="221" customWidth="1"/>
    <col min="1803" max="1803" width="9.5546875" style="221" customWidth="1"/>
    <col min="1804" max="1804" width="10.44140625" style="221" customWidth="1"/>
    <col min="1805" max="2048" width="9.109375" style="221"/>
    <col min="2049" max="2049" width="5.6640625" style="221" customWidth="1"/>
    <col min="2050" max="2050" width="15.5546875" style="221" customWidth="1"/>
    <col min="2051" max="2051" width="17.44140625" style="221" customWidth="1"/>
    <col min="2052" max="2052" width="14.44140625" style="221" customWidth="1"/>
    <col min="2053" max="2053" width="11.109375" style="221" customWidth="1"/>
    <col min="2054" max="2054" width="15.44140625" style="221" customWidth="1"/>
    <col min="2055" max="2055" width="8.33203125" style="221" customWidth="1"/>
    <col min="2056" max="2057" width="10.5546875" style="221" customWidth="1"/>
    <col min="2058" max="2058" width="6" style="221" customWidth="1"/>
    <col min="2059" max="2059" width="9.5546875" style="221" customWidth="1"/>
    <col min="2060" max="2060" width="10.44140625" style="221" customWidth="1"/>
    <col min="2061" max="2304" width="9.109375" style="221"/>
    <col min="2305" max="2305" width="5.6640625" style="221" customWidth="1"/>
    <col min="2306" max="2306" width="15.5546875" style="221" customWidth="1"/>
    <col min="2307" max="2307" width="17.44140625" style="221" customWidth="1"/>
    <col min="2308" max="2308" width="14.44140625" style="221" customWidth="1"/>
    <col min="2309" max="2309" width="11.109375" style="221" customWidth="1"/>
    <col min="2310" max="2310" width="15.44140625" style="221" customWidth="1"/>
    <col min="2311" max="2311" width="8.33203125" style="221" customWidth="1"/>
    <col min="2312" max="2313" width="10.5546875" style="221" customWidth="1"/>
    <col min="2314" max="2314" width="6" style="221" customWidth="1"/>
    <col min="2315" max="2315" width="9.5546875" style="221" customWidth="1"/>
    <col min="2316" max="2316" width="10.44140625" style="221" customWidth="1"/>
    <col min="2317" max="2560" width="9.109375" style="221"/>
    <col min="2561" max="2561" width="5.6640625" style="221" customWidth="1"/>
    <col min="2562" max="2562" width="15.5546875" style="221" customWidth="1"/>
    <col min="2563" max="2563" width="17.44140625" style="221" customWidth="1"/>
    <col min="2564" max="2564" width="14.44140625" style="221" customWidth="1"/>
    <col min="2565" max="2565" width="11.109375" style="221" customWidth="1"/>
    <col min="2566" max="2566" width="15.44140625" style="221" customWidth="1"/>
    <col min="2567" max="2567" width="8.33203125" style="221" customWidth="1"/>
    <col min="2568" max="2569" width="10.5546875" style="221" customWidth="1"/>
    <col min="2570" max="2570" width="6" style="221" customWidth="1"/>
    <col min="2571" max="2571" width="9.5546875" style="221" customWidth="1"/>
    <col min="2572" max="2572" width="10.44140625" style="221" customWidth="1"/>
    <col min="2573" max="2816" width="9.109375" style="221"/>
    <col min="2817" max="2817" width="5.6640625" style="221" customWidth="1"/>
    <col min="2818" max="2818" width="15.5546875" style="221" customWidth="1"/>
    <col min="2819" max="2819" width="17.44140625" style="221" customWidth="1"/>
    <col min="2820" max="2820" width="14.44140625" style="221" customWidth="1"/>
    <col min="2821" max="2821" width="11.109375" style="221" customWidth="1"/>
    <col min="2822" max="2822" width="15.44140625" style="221" customWidth="1"/>
    <col min="2823" max="2823" width="8.33203125" style="221" customWidth="1"/>
    <col min="2824" max="2825" width="10.5546875" style="221" customWidth="1"/>
    <col min="2826" max="2826" width="6" style="221" customWidth="1"/>
    <col min="2827" max="2827" width="9.5546875" style="221" customWidth="1"/>
    <col min="2828" max="2828" width="10.44140625" style="221" customWidth="1"/>
    <col min="2829" max="3072" width="9.109375" style="221"/>
    <col min="3073" max="3073" width="5.6640625" style="221" customWidth="1"/>
    <col min="3074" max="3074" width="15.5546875" style="221" customWidth="1"/>
    <col min="3075" max="3075" width="17.44140625" style="221" customWidth="1"/>
    <col min="3076" max="3076" width="14.44140625" style="221" customWidth="1"/>
    <col min="3077" max="3077" width="11.109375" style="221" customWidth="1"/>
    <col min="3078" max="3078" width="15.44140625" style="221" customWidth="1"/>
    <col min="3079" max="3079" width="8.33203125" style="221" customWidth="1"/>
    <col min="3080" max="3081" width="10.5546875" style="221" customWidth="1"/>
    <col min="3082" max="3082" width="6" style="221" customWidth="1"/>
    <col min="3083" max="3083" width="9.5546875" style="221" customWidth="1"/>
    <col min="3084" max="3084" width="10.44140625" style="221" customWidth="1"/>
    <col min="3085" max="3328" width="9.109375" style="221"/>
    <col min="3329" max="3329" width="5.6640625" style="221" customWidth="1"/>
    <col min="3330" max="3330" width="15.5546875" style="221" customWidth="1"/>
    <col min="3331" max="3331" width="17.44140625" style="221" customWidth="1"/>
    <col min="3332" max="3332" width="14.44140625" style="221" customWidth="1"/>
    <col min="3333" max="3333" width="11.109375" style="221" customWidth="1"/>
    <col min="3334" max="3334" width="15.44140625" style="221" customWidth="1"/>
    <col min="3335" max="3335" width="8.33203125" style="221" customWidth="1"/>
    <col min="3336" max="3337" width="10.5546875" style="221" customWidth="1"/>
    <col min="3338" max="3338" width="6" style="221" customWidth="1"/>
    <col min="3339" max="3339" width="9.5546875" style="221" customWidth="1"/>
    <col min="3340" max="3340" width="10.44140625" style="221" customWidth="1"/>
    <col min="3341" max="3584" width="9.109375" style="221"/>
    <col min="3585" max="3585" width="5.6640625" style="221" customWidth="1"/>
    <col min="3586" max="3586" width="15.5546875" style="221" customWidth="1"/>
    <col min="3587" max="3587" width="17.44140625" style="221" customWidth="1"/>
    <col min="3588" max="3588" width="14.44140625" style="221" customWidth="1"/>
    <col min="3589" max="3589" width="11.109375" style="221" customWidth="1"/>
    <col min="3590" max="3590" width="15.44140625" style="221" customWidth="1"/>
    <col min="3591" max="3591" width="8.33203125" style="221" customWidth="1"/>
    <col min="3592" max="3593" width="10.5546875" style="221" customWidth="1"/>
    <col min="3594" max="3594" width="6" style="221" customWidth="1"/>
    <col min="3595" max="3595" width="9.5546875" style="221" customWidth="1"/>
    <col min="3596" max="3596" width="10.44140625" style="221" customWidth="1"/>
    <col min="3597" max="3840" width="9.109375" style="221"/>
    <col min="3841" max="3841" width="5.6640625" style="221" customWidth="1"/>
    <col min="3842" max="3842" width="15.5546875" style="221" customWidth="1"/>
    <col min="3843" max="3843" width="17.44140625" style="221" customWidth="1"/>
    <col min="3844" max="3844" width="14.44140625" style="221" customWidth="1"/>
    <col min="3845" max="3845" width="11.109375" style="221" customWidth="1"/>
    <col min="3846" max="3846" width="15.44140625" style="221" customWidth="1"/>
    <col min="3847" max="3847" width="8.33203125" style="221" customWidth="1"/>
    <col min="3848" max="3849" width="10.5546875" style="221" customWidth="1"/>
    <col min="3850" max="3850" width="6" style="221" customWidth="1"/>
    <col min="3851" max="3851" width="9.5546875" style="221" customWidth="1"/>
    <col min="3852" max="3852" width="10.44140625" style="221" customWidth="1"/>
    <col min="3853" max="4096" width="9.109375" style="221"/>
    <col min="4097" max="4097" width="5.6640625" style="221" customWidth="1"/>
    <col min="4098" max="4098" width="15.5546875" style="221" customWidth="1"/>
    <col min="4099" max="4099" width="17.44140625" style="221" customWidth="1"/>
    <col min="4100" max="4100" width="14.44140625" style="221" customWidth="1"/>
    <col min="4101" max="4101" width="11.109375" style="221" customWidth="1"/>
    <col min="4102" max="4102" width="15.44140625" style="221" customWidth="1"/>
    <col min="4103" max="4103" width="8.33203125" style="221" customWidth="1"/>
    <col min="4104" max="4105" width="10.5546875" style="221" customWidth="1"/>
    <col min="4106" max="4106" width="6" style="221" customWidth="1"/>
    <col min="4107" max="4107" width="9.5546875" style="221" customWidth="1"/>
    <col min="4108" max="4108" width="10.44140625" style="221" customWidth="1"/>
    <col min="4109" max="4352" width="9.109375" style="221"/>
    <col min="4353" max="4353" width="5.6640625" style="221" customWidth="1"/>
    <col min="4354" max="4354" width="15.5546875" style="221" customWidth="1"/>
    <col min="4355" max="4355" width="17.44140625" style="221" customWidth="1"/>
    <col min="4356" max="4356" width="14.44140625" style="221" customWidth="1"/>
    <col min="4357" max="4357" width="11.109375" style="221" customWidth="1"/>
    <col min="4358" max="4358" width="15.44140625" style="221" customWidth="1"/>
    <col min="4359" max="4359" width="8.33203125" style="221" customWidth="1"/>
    <col min="4360" max="4361" width="10.5546875" style="221" customWidth="1"/>
    <col min="4362" max="4362" width="6" style="221" customWidth="1"/>
    <col min="4363" max="4363" width="9.5546875" style="221" customWidth="1"/>
    <col min="4364" max="4364" width="10.44140625" style="221" customWidth="1"/>
    <col min="4365" max="4608" width="9.109375" style="221"/>
    <col min="4609" max="4609" width="5.6640625" style="221" customWidth="1"/>
    <col min="4610" max="4610" width="15.5546875" style="221" customWidth="1"/>
    <col min="4611" max="4611" width="17.44140625" style="221" customWidth="1"/>
    <col min="4612" max="4612" width="14.44140625" style="221" customWidth="1"/>
    <col min="4613" max="4613" width="11.109375" style="221" customWidth="1"/>
    <col min="4614" max="4614" width="15.44140625" style="221" customWidth="1"/>
    <col min="4615" max="4615" width="8.33203125" style="221" customWidth="1"/>
    <col min="4616" max="4617" width="10.5546875" style="221" customWidth="1"/>
    <col min="4618" max="4618" width="6" style="221" customWidth="1"/>
    <col min="4619" max="4619" width="9.5546875" style="221" customWidth="1"/>
    <col min="4620" max="4620" width="10.44140625" style="221" customWidth="1"/>
    <col min="4621" max="4864" width="9.109375" style="221"/>
    <col min="4865" max="4865" width="5.6640625" style="221" customWidth="1"/>
    <col min="4866" max="4866" width="15.5546875" style="221" customWidth="1"/>
    <col min="4867" max="4867" width="17.44140625" style="221" customWidth="1"/>
    <col min="4868" max="4868" width="14.44140625" style="221" customWidth="1"/>
    <col min="4869" max="4869" width="11.109375" style="221" customWidth="1"/>
    <col min="4870" max="4870" width="15.44140625" style="221" customWidth="1"/>
    <col min="4871" max="4871" width="8.33203125" style="221" customWidth="1"/>
    <col min="4872" max="4873" width="10.5546875" style="221" customWidth="1"/>
    <col min="4874" max="4874" width="6" style="221" customWidth="1"/>
    <col min="4875" max="4875" width="9.5546875" style="221" customWidth="1"/>
    <col min="4876" max="4876" width="10.44140625" style="221" customWidth="1"/>
    <col min="4877" max="5120" width="9.109375" style="221"/>
    <col min="5121" max="5121" width="5.6640625" style="221" customWidth="1"/>
    <col min="5122" max="5122" width="15.5546875" style="221" customWidth="1"/>
    <col min="5123" max="5123" width="17.44140625" style="221" customWidth="1"/>
    <col min="5124" max="5124" width="14.44140625" style="221" customWidth="1"/>
    <col min="5125" max="5125" width="11.109375" style="221" customWidth="1"/>
    <col min="5126" max="5126" width="15.44140625" style="221" customWidth="1"/>
    <col min="5127" max="5127" width="8.33203125" style="221" customWidth="1"/>
    <col min="5128" max="5129" width="10.5546875" style="221" customWidth="1"/>
    <col min="5130" max="5130" width="6" style="221" customWidth="1"/>
    <col min="5131" max="5131" width="9.5546875" style="221" customWidth="1"/>
    <col min="5132" max="5132" width="10.44140625" style="221" customWidth="1"/>
    <col min="5133" max="5376" width="9.109375" style="221"/>
    <col min="5377" max="5377" width="5.6640625" style="221" customWidth="1"/>
    <col min="5378" max="5378" width="15.5546875" style="221" customWidth="1"/>
    <col min="5379" max="5379" width="17.44140625" style="221" customWidth="1"/>
    <col min="5380" max="5380" width="14.44140625" style="221" customWidth="1"/>
    <col min="5381" max="5381" width="11.109375" style="221" customWidth="1"/>
    <col min="5382" max="5382" width="15.44140625" style="221" customWidth="1"/>
    <col min="5383" max="5383" width="8.33203125" style="221" customWidth="1"/>
    <col min="5384" max="5385" width="10.5546875" style="221" customWidth="1"/>
    <col min="5386" max="5386" width="6" style="221" customWidth="1"/>
    <col min="5387" max="5387" width="9.5546875" style="221" customWidth="1"/>
    <col min="5388" max="5388" width="10.44140625" style="221" customWidth="1"/>
    <col min="5389" max="5632" width="9.109375" style="221"/>
    <col min="5633" max="5633" width="5.6640625" style="221" customWidth="1"/>
    <col min="5634" max="5634" width="15.5546875" style="221" customWidth="1"/>
    <col min="5635" max="5635" width="17.44140625" style="221" customWidth="1"/>
    <col min="5636" max="5636" width="14.44140625" style="221" customWidth="1"/>
    <col min="5637" max="5637" width="11.109375" style="221" customWidth="1"/>
    <col min="5638" max="5638" width="15.44140625" style="221" customWidth="1"/>
    <col min="5639" max="5639" width="8.33203125" style="221" customWidth="1"/>
    <col min="5640" max="5641" width="10.5546875" style="221" customWidth="1"/>
    <col min="5642" max="5642" width="6" style="221" customWidth="1"/>
    <col min="5643" max="5643" width="9.5546875" style="221" customWidth="1"/>
    <col min="5644" max="5644" width="10.44140625" style="221" customWidth="1"/>
    <col min="5645" max="5888" width="9.109375" style="221"/>
    <col min="5889" max="5889" width="5.6640625" style="221" customWidth="1"/>
    <col min="5890" max="5890" width="15.5546875" style="221" customWidth="1"/>
    <col min="5891" max="5891" width="17.44140625" style="221" customWidth="1"/>
    <col min="5892" max="5892" width="14.44140625" style="221" customWidth="1"/>
    <col min="5893" max="5893" width="11.109375" style="221" customWidth="1"/>
    <col min="5894" max="5894" width="15.44140625" style="221" customWidth="1"/>
    <col min="5895" max="5895" width="8.33203125" style="221" customWidth="1"/>
    <col min="5896" max="5897" width="10.5546875" style="221" customWidth="1"/>
    <col min="5898" max="5898" width="6" style="221" customWidth="1"/>
    <col min="5899" max="5899" width="9.5546875" style="221" customWidth="1"/>
    <col min="5900" max="5900" width="10.44140625" style="221" customWidth="1"/>
    <col min="5901" max="6144" width="9.109375" style="221"/>
    <col min="6145" max="6145" width="5.6640625" style="221" customWidth="1"/>
    <col min="6146" max="6146" width="15.5546875" style="221" customWidth="1"/>
    <col min="6147" max="6147" width="17.44140625" style="221" customWidth="1"/>
    <col min="6148" max="6148" width="14.44140625" style="221" customWidth="1"/>
    <col min="6149" max="6149" width="11.109375" style="221" customWidth="1"/>
    <col min="6150" max="6150" width="15.44140625" style="221" customWidth="1"/>
    <col min="6151" max="6151" width="8.33203125" style="221" customWidth="1"/>
    <col min="6152" max="6153" width="10.5546875" style="221" customWidth="1"/>
    <col min="6154" max="6154" width="6" style="221" customWidth="1"/>
    <col min="6155" max="6155" width="9.5546875" style="221" customWidth="1"/>
    <col min="6156" max="6156" width="10.44140625" style="221" customWidth="1"/>
    <col min="6157" max="6400" width="9.109375" style="221"/>
    <col min="6401" max="6401" width="5.6640625" style="221" customWidth="1"/>
    <col min="6402" max="6402" width="15.5546875" style="221" customWidth="1"/>
    <col min="6403" max="6403" width="17.44140625" style="221" customWidth="1"/>
    <col min="6404" max="6404" width="14.44140625" style="221" customWidth="1"/>
    <col min="6405" max="6405" width="11.109375" style="221" customWidth="1"/>
    <col min="6406" max="6406" width="15.44140625" style="221" customWidth="1"/>
    <col min="6407" max="6407" width="8.33203125" style="221" customWidth="1"/>
    <col min="6408" max="6409" width="10.5546875" style="221" customWidth="1"/>
    <col min="6410" max="6410" width="6" style="221" customWidth="1"/>
    <col min="6411" max="6411" width="9.5546875" style="221" customWidth="1"/>
    <col min="6412" max="6412" width="10.44140625" style="221" customWidth="1"/>
    <col min="6413" max="6656" width="9.109375" style="221"/>
    <col min="6657" max="6657" width="5.6640625" style="221" customWidth="1"/>
    <col min="6658" max="6658" width="15.5546875" style="221" customWidth="1"/>
    <col min="6659" max="6659" width="17.44140625" style="221" customWidth="1"/>
    <col min="6660" max="6660" width="14.44140625" style="221" customWidth="1"/>
    <col min="6661" max="6661" width="11.109375" style="221" customWidth="1"/>
    <col min="6662" max="6662" width="15.44140625" style="221" customWidth="1"/>
    <col min="6663" max="6663" width="8.33203125" style="221" customWidth="1"/>
    <col min="6664" max="6665" width="10.5546875" style="221" customWidth="1"/>
    <col min="6666" max="6666" width="6" style="221" customWidth="1"/>
    <col min="6667" max="6667" width="9.5546875" style="221" customWidth="1"/>
    <col min="6668" max="6668" width="10.44140625" style="221" customWidth="1"/>
    <col min="6669" max="6912" width="9.109375" style="221"/>
    <col min="6913" max="6913" width="5.6640625" style="221" customWidth="1"/>
    <col min="6914" max="6914" width="15.5546875" style="221" customWidth="1"/>
    <col min="6915" max="6915" width="17.44140625" style="221" customWidth="1"/>
    <col min="6916" max="6916" width="14.44140625" style="221" customWidth="1"/>
    <col min="6917" max="6917" width="11.109375" style="221" customWidth="1"/>
    <col min="6918" max="6918" width="15.44140625" style="221" customWidth="1"/>
    <col min="6919" max="6919" width="8.33203125" style="221" customWidth="1"/>
    <col min="6920" max="6921" width="10.5546875" style="221" customWidth="1"/>
    <col min="6922" max="6922" width="6" style="221" customWidth="1"/>
    <col min="6923" max="6923" width="9.5546875" style="221" customWidth="1"/>
    <col min="6924" max="6924" width="10.44140625" style="221" customWidth="1"/>
    <col min="6925" max="7168" width="9.109375" style="221"/>
    <col min="7169" max="7169" width="5.6640625" style="221" customWidth="1"/>
    <col min="7170" max="7170" width="15.5546875" style="221" customWidth="1"/>
    <col min="7171" max="7171" width="17.44140625" style="221" customWidth="1"/>
    <col min="7172" max="7172" width="14.44140625" style="221" customWidth="1"/>
    <col min="7173" max="7173" width="11.109375" style="221" customWidth="1"/>
    <col min="7174" max="7174" width="15.44140625" style="221" customWidth="1"/>
    <col min="7175" max="7175" width="8.33203125" style="221" customWidth="1"/>
    <col min="7176" max="7177" width="10.5546875" style="221" customWidth="1"/>
    <col min="7178" max="7178" width="6" style="221" customWidth="1"/>
    <col min="7179" max="7179" width="9.5546875" style="221" customWidth="1"/>
    <col min="7180" max="7180" width="10.44140625" style="221" customWidth="1"/>
    <col min="7181" max="7424" width="9.109375" style="221"/>
    <col min="7425" max="7425" width="5.6640625" style="221" customWidth="1"/>
    <col min="7426" max="7426" width="15.5546875" style="221" customWidth="1"/>
    <col min="7427" max="7427" width="17.44140625" style="221" customWidth="1"/>
    <col min="7428" max="7428" width="14.44140625" style="221" customWidth="1"/>
    <col min="7429" max="7429" width="11.109375" style="221" customWidth="1"/>
    <col min="7430" max="7430" width="15.44140625" style="221" customWidth="1"/>
    <col min="7431" max="7431" width="8.33203125" style="221" customWidth="1"/>
    <col min="7432" max="7433" width="10.5546875" style="221" customWidth="1"/>
    <col min="7434" max="7434" width="6" style="221" customWidth="1"/>
    <col min="7435" max="7435" width="9.5546875" style="221" customWidth="1"/>
    <col min="7436" max="7436" width="10.44140625" style="221" customWidth="1"/>
    <col min="7437" max="7680" width="9.109375" style="221"/>
    <col min="7681" max="7681" width="5.6640625" style="221" customWidth="1"/>
    <col min="7682" max="7682" width="15.5546875" style="221" customWidth="1"/>
    <col min="7683" max="7683" width="17.44140625" style="221" customWidth="1"/>
    <col min="7684" max="7684" width="14.44140625" style="221" customWidth="1"/>
    <col min="7685" max="7685" width="11.109375" style="221" customWidth="1"/>
    <col min="7686" max="7686" width="15.44140625" style="221" customWidth="1"/>
    <col min="7687" max="7687" width="8.33203125" style="221" customWidth="1"/>
    <col min="7688" max="7689" width="10.5546875" style="221" customWidth="1"/>
    <col min="7690" max="7690" width="6" style="221" customWidth="1"/>
    <col min="7691" max="7691" width="9.5546875" style="221" customWidth="1"/>
    <col min="7692" max="7692" width="10.44140625" style="221" customWidth="1"/>
    <col min="7693" max="7936" width="9.109375" style="221"/>
    <col min="7937" max="7937" width="5.6640625" style="221" customWidth="1"/>
    <col min="7938" max="7938" width="15.5546875" style="221" customWidth="1"/>
    <col min="7939" max="7939" width="17.44140625" style="221" customWidth="1"/>
    <col min="7940" max="7940" width="14.44140625" style="221" customWidth="1"/>
    <col min="7941" max="7941" width="11.109375" style="221" customWidth="1"/>
    <col min="7942" max="7942" width="15.44140625" style="221" customWidth="1"/>
    <col min="7943" max="7943" width="8.33203125" style="221" customWidth="1"/>
    <col min="7944" max="7945" width="10.5546875" style="221" customWidth="1"/>
    <col min="7946" max="7946" width="6" style="221" customWidth="1"/>
    <col min="7947" max="7947" width="9.5546875" style="221" customWidth="1"/>
    <col min="7948" max="7948" width="10.44140625" style="221" customWidth="1"/>
    <col min="7949" max="8192" width="9.109375" style="221"/>
    <col min="8193" max="8193" width="5.6640625" style="221" customWidth="1"/>
    <col min="8194" max="8194" width="15.5546875" style="221" customWidth="1"/>
    <col min="8195" max="8195" width="17.44140625" style="221" customWidth="1"/>
    <col min="8196" max="8196" width="14.44140625" style="221" customWidth="1"/>
    <col min="8197" max="8197" width="11.109375" style="221" customWidth="1"/>
    <col min="8198" max="8198" width="15.44140625" style="221" customWidth="1"/>
    <col min="8199" max="8199" width="8.33203125" style="221" customWidth="1"/>
    <col min="8200" max="8201" width="10.5546875" style="221" customWidth="1"/>
    <col min="8202" max="8202" width="6" style="221" customWidth="1"/>
    <col min="8203" max="8203" width="9.5546875" style="221" customWidth="1"/>
    <col min="8204" max="8204" width="10.44140625" style="221" customWidth="1"/>
    <col min="8205" max="8448" width="9.109375" style="221"/>
    <col min="8449" max="8449" width="5.6640625" style="221" customWidth="1"/>
    <col min="8450" max="8450" width="15.5546875" style="221" customWidth="1"/>
    <col min="8451" max="8451" width="17.44140625" style="221" customWidth="1"/>
    <col min="8452" max="8452" width="14.44140625" style="221" customWidth="1"/>
    <col min="8453" max="8453" width="11.109375" style="221" customWidth="1"/>
    <col min="8454" max="8454" width="15.44140625" style="221" customWidth="1"/>
    <col min="8455" max="8455" width="8.33203125" style="221" customWidth="1"/>
    <col min="8456" max="8457" width="10.5546875" style="221" customWidth="1"/>
    <col min="8458" max="8458" width="6" style="221" customWidth="1"/>
    <col min="8459" max="8459" width="9.5546875" style="221" customWidth="1"/>
    <col min="8460" max="8460" width="10.44140625" style="221" customWidth="1"/>
    <col min="8461" max="8704" width="9.109375" style="221"/>
    <col min="8705" max="8705" width="5.6640625" style="221" customWidth="1"/>
    <col min="8706" max="8706" width="15.5546875" style="221" customWidth="1"/>
    <col min="8707" max="8707" width="17.44140625" style="221" customWidth="1"/>
    <col min="8708" max="8708" width="14.44140625" style="221" customWidth="1"/>
    <col min="8709" max="8709" width="11.109375" style="221" customWidth="1"/>
    <col min="8710" max="8710" width="15.44140625" style="221" customWidth="1"/>
    <col min="8711" max="8711" width="8.33203125" style="221" customWidth="1"/>
    <col min="8712" max="8713" width="10.5546875" style="221" customWidth="1"/>
    <col min="8714" max="8714" width="6" style="221" customWidth="1"/>
    <col min="8715" max="8715" width="9.5546875" style="221" customWidth="1"/>
    <col min="8716" max="8716" width="10.44140625" style="221" customWidth="1"/>
    <col min="8717" max="8960" width="9.109375" style="221"/>
    <col min="8961" max="8961" width="5.6640625" style="221" customWidth="1"/>
    <col min="8962" max="8962" width="15.5546875" style="221" customWidth="1"/>
    <col min="8963" max="8963" width="17.44140625" style="221" customWidth="1"/>
    <col min="8964" max="8964" width="14.44140625" style="221" customWidth="1"/>
    <col min="8965" max="8965" width="11.109375" style="221" customWidth="1"/>
    <col min="8966" max="8966" width="15.44140625" style="221" customWidth="1"/>
    <col min="8967" max="8967" width="8.33203125" style="221" customWidth="1"/>
    <col min="8968" max="8969" width="10.5546875" style="221" customWidth="1"/>
    <col min="8970" max="8970" width="6" style="221" customWidth="1"/>
    <col min="8971" max="8971" width="9.5546875" style="221" customWidth="1"/>
    <col min="8972" max="8972" width="10.44140625" style="221" customWidth="1"/>
    <col min="8973" max="9216" width="9.109375" style="221"/>
    <col min="9217" max="9217" width="5.6640625" style="221" customWidth="1"/>
    <col min="9218" max="9218" width="15.5546875" style="221" customWidth="1"/>
    <col min="9219" max="9219" width="17.44140625" style="221" customWidth="1"/>
    <col min="9220" max="9220" width="14.44140625" style="221" customWidth="1"/>
    <col min="9221" max="9221" width="11.109375" style="221" customWidth="1"/>
    <col min="9222" max="9222" width="15.44140625" style="221" customWidth="1"/>
    <col min="9223" max="9223" width="8.33203125" style="221" customWidth="1"/>
    <col min="9224" max="9225" width="10.5546875" style="221" customWidth="1"/>
    <col min="9226" max="9226" width="6" style="221" customWidth="1"/>
    <col min="9227" max="9227" width="9.5546875" style="221" customWidth="1"/>
    <col min="9228" max="9228" width="10.44140625" style="221" customWidth="1"/>
    <col min="9229" max="9472" width="9.109375" style="221"/>
    <col min="9473" max="9473" width="5.6640625" style="221" customWidth="1"/>
    <col min="9474" max="9474" width="15.5546875" style="221" customWidth="1"/>
    <col min="9475" max="9475" width="17.44140625" style="221" customWidth="1"/>
    <col min="9476" max="9476" width="14.44140625" style="221" customWidth="1"/>
    <col min="9477" max="9477" width="11.109375" style="221" customWidth="1"/>
    <col min="9478" max="9478" width="15.44140625" style="221" customWidth="1"/>
    <col min="9479" max="9479" width="8.33203125" style="221" customWidth="1"/>
    <col min="9480" max="9481" width="10.5546875" style="221" customWidth="1"/>
    <col min="9482" max="9482" width="6" style="221" customWidth="1"/>
    <col min="9483" max="9483" width="9.5546875" style="221" customWidth="1"/>
    <col min="9484" max="9484" width="10.44140625" style="221" customWidth="1"/>
    <col min="9485" max="9728" width="9.109375" style="221"/>
    <col min="9729" max="9729" width="5.6640625" style="221" customWidth="1"/>
    <col min="9730" max="9730" width="15.5546875" style="221" customWidth="1"/>
    <col min="9731" max="9731" width="17.44140625" style="221" customWidth="1"/>
    <col min="9732" max="9732" width="14.44140625" style="221" customWidth="1"/>
    <col min="9733" max="9733" width="11.109375" style="221" customWidth="1"/>
    <col min="9734" max="9734" width="15.44140625" style="221" customWidth="1"/>
    <col min="9735" max="9735" width="8.33203125" style="221" customWidth="1"/>
    <col min="9736" max="9737" width="10.5546875" style="221" customWidth="1"/>
    <col min="9738" max="9738" width="6" style="221" customWidth="1"/>
    <col min="9739" max="9739" width="9.5546875" style="221" customWidth="1"/>
    <col min="9740" max="9740" width="10.44140625" style="221" customWidth="1"/>
    <col min="9741" max="9984" width="9.109375" style="221"/>
    <col min="9985" max="9985" width="5.6640625" style="221" customWidth="1"/>
    <col min="9986" max="9986" width="15.5546875" style="221" customWidth="1"/>
    <col min="9987" max="9987" width="17.44140625" style="221" customWidth="1"/>
    <col min="9988" max="9988" width="14.44140625" style="221" customWidth="1"/>
    <col min="9989" max="9989" width="11.109375" style="221" customWidth="1"/>
    <col min="9990" max="9990" width="15.44140625" style="221" customWidth="1"/>
    <col min="9991" max="9991" width="8.33203125" style="221" customWidth="1"/>
    <col min="9992" max="9993" width="10.5546875" style="221" customWidth="1"/>
    <col min="9994" max="9994" width="6" style="221" customWidth="1"/>
    <col min="9995" max="9995" width="9.5546875" style="221" customWidth="1"/>
    <col min="9996" max="9996" width="10.44140625" style="221" customWidth="1"/>
    <col min="9997" max="10240" width="9.109375" style="221"/>
    <col min="10241" max="10241" width="5.6640625" style="221" customWidth="1"/>
    <col min="10242" max="10242" width="15.5546875" style="221" customWidth="1"/>
    <col min="10243" max="10243" width="17.44140625" style="221" customWidth="1"/>
    <col min="10244" max="10244" width="14.44140625" style="221" customWidth="1"/>
    <col min="10245" max="10245" width="11.109375" style="221" customWidth="1"/>
    <col min="10246" max="10246" width="15.44140625" style="221" customWidth="1"/>
    <col min="10247" max="10247" width="8.33203125" style="221" customWidth="1"/>
    <col min="10248" max="10249" width="10.5546875" style="221" customWidth="1"/>
    <col min="10250" max="10250" width="6" style="221" customWidth="1"/>
    <col min="10251" max="10251" width="9.5546875" style="221" customWidth="1"/>
    <col min="10252" max="10252" width="10.44140625" style="221" customWidth="1"/>
    <col min="10253" max="10496" width="9.109375" style="221"/>
    <col min="10497" max="10497" width="5.6640625" style="221" customWidth="1"/>
    <col min="10498" max="10498" width="15.5546875" style="221" customWidth="1"/>
    <col min="10499" max="10499" width="17.44140625" style="221" customWidth="1"/>
    <col min="10500" max="10500" width="14.44140625" style="221" customWidth="1"/>
    <col min="10501" max="10501" width="11.109375" style="221" customWidth="1"/>
    <col min="10502" max="10502" width="15.44140625" style="221" customWidth="1"/>
    <col min="10503" max="10503" width="8.33203125" style="221" customWidth="1"/>
    <col min="10504" max="10505" width="10.5546875" style="221" customWidth="1"/>
    <col min="10506" max="10506" width="6" style="221" customWidth="1"/>
    <col min="10507" max="10507" width="9.5546875" style="221" customWidth="1"/>
    <col min="10508" max="10508" width="10.44140625" style="221" customWidth="1"/>
    <col min="10509" max="10752" width="9.109375" style="221"/>
    <col min="10753" max="10753" width="5.6640625" style="221" customWidth="1"/>
    <col min="10754" max="10754" width="15.5546875" style="221" customWidth="1"/>
    <col min="10755" max="10755" width="17.44140625" style="221" customWidth="1"/>
    <col min="10756" max="10756" width="14.44140625" style="221" customWidth="1"/>
    <col min="10757" max="10757" width="11.109375" style="221" customWidth="1"/>
    <col min="10758" max="10758" width="15.44140625" style="221" customWidth="1"/>
    <col min="10759" max="10759" width="8.33203125" style="221" customWidth="1"/>
    <col min="10760" max="10761" width="10.5546875" style="221" customWidth="1"/>
    <col min="10762" max="10762" width="6" style="221" customWidth="1"/>
    <col min="10763" max="10763" width="9.5546875" style="221" customWidth="1"/>
    <col min="10764" max="10764" width="10.44140625" style="221" customWidth="1"/>
    <col min="10765" max="11008" width="9.109375" style="221"/>
    <col min="11009" max="11009" width="5.6640625" style="221" customWidth="1"/>
    <col min="11010" max="11010" width="15.5546875" style="221" customWidth="1"/>
    <col min="11011" max="11011" width="17.44140625" style="221" customWidth="1"/>
    <col min="11012" max="11012" width="14.44140625" style="221" customWidth="1"/>
    <col min="11013" max="11013" width="11.109375" style="221" customWidth="1"/>
    <col min="11014" max="11014" width="15.44140625" style="221" customWidth="1"/>
    <col min="11015" max="11015" width="8.33203125" style="221" customWidth="1"/>
    <col min="11016" max="11017" width="10.5546875" style="221" customWidth="1"/>
    <col min="11018" max="11018" width="6" style="221" customWidth="1"/>
    <col min="11019" max="11019" width="9.5546875" style="221" customWidth="1"/>
    <col min="11020" max="11020" width="10.44140625" style="221" customWidth="1"/>
    <col min="11021" max="11264" width="9.109375" style="221"/>
    <col min="11265" max="11265" width="5.6640625" style="221" customWidth="1"/>
    <col min="11266" max="11266" width="15.5546875" style="221" customWidth="1"/>
    <col min="11267" max="11267" width="17.44140625" style="221" customWidth="1"/>
    <col min="11268" max="11268" width="14.44140625" style="221" customWidth="1"/>
    <col min="11269" max="11269" width="11.109375" style="221" customWidth="1"/>
    <col min="11270" max="11270" width="15.44140625" style="221" customWidth="1"/>
    <col min="11271" max="11271" width="8.33203125" style="221" customWidth="1"/>
    <col min="11272" max="11273" width="10.5546875" style="221" customWidth="1"/>
    <col min="11274" max="11274" width="6" style="221" customWidth="1"/>
    <col min="11275" max="11275" width="9.5546875" style="221" customWidth="1"/>
    <col min="11276" max="11276" width="10.44140625" style="221" customWidth="1"/>
    <col min="11277" max="11520" width="9.109375" style="221"/>
    <col min="11521" max="11521" width="5.6640625" style="221" customWidth="1"/>
    <col min="11522" max="11522" width="15.5546875" style="221" customWidth="1"/>
    <col min="11523" max="11523" width="17.44140625" style="221" customWidth="1"/>
    <col min="11524" max="11524" width="14.44140625" style="221" customWidth="1"/>
    <col min="11525" max="11525" width="11.109375" style="221" customWidth="1"/>
    <col min="11526" max="11526" width="15.44140625" style="221" customWidth="1"/>
    <col min="11527" max="11527" width="8.33203125" style="221" customWidth="1"/>
    <col min="11528" max="11529" width="10.5546875" style="221" customWidth="1"/>
    <col min="11530" max="11530" width="6" style="221" customWidth="1"/>
    <col min="11531" max="11531" width="9.5546875" style="221" customWidth="1"/>
    <col min="11532" max="11532" width="10.44140625" style="221" customWidth="1"/>
    <col min="11533" max="11776" width="9.109375" style="221"/>
    <col min="11777" max="11777" width="5.6640625" style="221" customWidth="1"/>
    <col min="11778" max="11778" width="15.5546875" style="221" customWidth="1"/>
    <col min="11779" max="11779" width="17.44140625" style="221" customWidth="1"/>
    <col min="11780" max="11780" width="14.44140625" style="221" customWidth="1"/>
    <col min="11781" max="11781" width="11.109375" style="221" customWidth="1"/>
    <col min="11782" max="11782" width="15.44140625" style="221" customWidth="1"/>
    <col min="11783" max="11783" width="8.33203125" style="221" customWidth="1"/>
    <col min="11784" max="11785" width="10.5546875" style="221" customWidth="1"/>
    <col min="11786" max="11786" width="6" style="221" customWidth="1"/>
    <col min="11787" max="11787" width="9.5546875" style="221" customWidth="1"/>
    <col min="11788" max="11788" width="10.44140625" style="221" customWidth="1"/>
    <col min="11789" max="12032" width="9.109375" style="221"/>
    <col min="12033" max="12033" width="5.6640625" style="221" customWidth="1"/>
    <col min="12034" max="12034" width="15.5546875" style="221" customWidth="1"/>
    <col min="12035" max="12035" width="17.44140625" style="221" customWidth="1"/>
    <col min="12036" max="12036" width="14.44140625" style="221" customWidth="1"/>
    <col min="12037" max="12037" width="11.109375" style="221" customWidth="1"/>
    <col min="12038" max="12038" width="15.44140625" style="221" customWidth="1"/>
    <col min="12039" max="12039" width="8.33203125" style="221" customWidth="1"/>
    <col min="12040" max="12041" width="10.5546875" style="221" customWidth="1"/>
    <col min="12042" max="12042" width="6" style="221" customWidth="1"/>
    <col min="12043" max="12043" width="9.5546875" style="221" customWidth="1"/>
    <col min="12044" max="12044" width="10.44140625" style="221" customWidth="1"/>
    <col min="12045" max="12288" width="9.109375" style="221"/>
    <col min="12289" max="12289" width="5.6640625" style="221" customWidth="1"/>
    <col min="12290" max="12290" width="15.5546875" style="221" customWidth="1"/>
    <col min="12291" max="12291" width="17.44140625" style="221" customWidth="1"/>
    <col min="12292" max="12292" width="14.44140625" style="221" customWidth="1"/>
    <col min="12293" max="12293" width="11.109375" style="221" customWidth="1"/>
    <col min="12294" max="12294" width="15.44140625" style="221" customWidth="1"/>
    <col min="12295" max="12295" width="8.33203125" style="221" customWidth="1"/>
    <col min="12296" max="12297" width="10.5546875" style="221" customWidth="1"/>
    <col min="12298" max="12298" width="6" style="221" customWidth="1"/>
    <col min="12299" max="12299" width="9.5546875" style="221" customWidth="1"/>
    <col min="12300" max="12300" width="10.44140625" style="221" customWidth="1"/>
    <col min="12301" max="12544" width="9.109375" style="221"/>
    <col min="12545" max="12545" width="5.6640625" style="221" customWidth="1"/>
    <col min="12546" max="12546" width="15.5546875" style="221" customWidth="1"/>
    <col min="12547" max="12547" width="17.44140625" style="221" customWidth="1"/>
    <col min="12548" max="12548" width="14.44140625" style="221" customWidth="1"/>
    <col min="12549" max="12549" width="11.109375" style="221" customWidth="1"/>
    <col min="12550" max="12550" width="15.44140625" style="221" customWidth="1"/>
    <col min="12551" max="12551" width="8.33203125" style="221" customWidth="1"/>
    <col min="12552" max="12553" width="10.5546875" style="221" customWidth="1"/>
    <col min="12554" max="12554" width="6" style="221" customWidth="1"/>
    <col min="12555" max="12555" width="9.5546875" style="221" customWidth="1"/>
    <col min="12556" max="12556" width="10.44140625" style="221" customWidth="1"/>
    <col min="12557" max="12800" width="9.109375" style="221"/>
    <col min="12801" max="12801" width="5.6640625" style="221" customWidth="1"/>
    <col min="12802" max="12802" width="15.5546875" style="221" customWidth="1"/>
    <col min="12803" max="12803" width="17.44140625" style="221" customWidth="1"/>
    <col min="12804" max="12804" width="14.44140625" style="221" customWidth="1"/>
    <col min="12805" max="12805" width="11.109375" style="221" customWidth="1"/>
    <col min="12806" max="12806" width="15.44140625" style="221" customWidth="1"/>
    <col min="12807" max="12807" width="8.33203125" style="221" customWidth="1"/>
    <col min="12808" max="12809" width="10.5546875" style="221" customWidth="1"/>
    <col min="12810" max="12810" width="6" style="221" customWidth="1"/>
    <col min="12811" max="12811" width="9.5546875" style="221" customWidth="1"/>
    <col min="12812" max="12812" width="10.44140625" style="221" customWidth="1"/>
    <col min="12813" max="13056" width="9.109375" style="221"/>
    <col min="13057" max="13057" width="5.6640625" style="221" customWidth="1"/>
    <col min="13058" max="13058" width="15.5546875" style="221" customWidth="1"/>
    <col min="13059" max="13059" width="17.44140625" style="221" customWidth="1"/>
    <col min="13060" max="13060" width="14.44140625" style="221" customWidth="1"/>
    <col min="13061" max="13061" width="11.109375" style="221" customWidth="1"/>
    <col min="13062" max="13062" width="15.44140625" style="221" customWidth="1"/>
    <col min="13063" max="13063" width="8.33203125" style="221" customWidth="1"/>
    <col min="13064" max="13065" width="10.5546875" style="221" customWidth="1"/>
    <col min="13066" max="13066" width="6" style="221" customWidth="1"/>
    <col min="13067" max="13067" width="9.5546875" style="221" customWidth="1"/>
    <col min="13068" max="13068" width="10.44140625" style="221" customWidth="1"/>
    <col min="13069" max="13312" width="9.109375" style="221"/>
    <col min="13313" max="13313" width="5.6640625" style="221" customWidth="1"/>
    <col min="13314" max="13314" width="15.5546875" style="221" customWidth="1"/>
    <col min="13315" max="13315" width="17.44140625" style="221" customWidth="1"/>
    <col min="13316" max="13316" width="14.44140625" style="221" customWidth="1"/>
    <col min="13317" max="13317" width="11.109375" style="221" customWidth="1"/>
    <col min="13318" max="13318" width="15.44140625" style="221" customWidth="1"/>
    <col min="13319" max="13319" width="8.33203125" style="221" customWidth="1"/>
    <col min="13320" max="13321" width="10.5546875" style="221" customWidth="1"/>
    <col min="13322" max="13322" width="6" style="221" customWidth="1"/>
    <col min="13323" max="13323" width="9.5546875" style="221" customWidth="1"/>
    <col min="13324" max="13324" width="10.44140625" style="221" customWidth="1"/>
    <col min="13325" max="13568" width="9.109375" style="221"/>
    <col min="13569" max="13569" width="5.6640625" style="221" customWidth="1"/>
    <col min="13570" max="13570" width="15.5546875" style="221" customWidth="1"/>
    <col min="13571" max="13571" width="17.44140625" style="221" customWidth="1"/>
    <col min="13572" max="13572" width="14.44140625" style="221" customWidth="1"/>
    <col min="13573" max="13573" width="11.109375" style="221" customWidth="1"/>
    <col min="13574" max="13574" width="15.44140625" style="221" customWidth="1"/>
    <col min="13575" max="13575" width="8.33203125" style="221" customWidth="1"/>
    <col min="13576" max="13577" width="10.5546875" style="221" customWidth="1"/>
    <col min="13578" max="13578" width="6" style="221" customWidth="1"/>
    <col min="13579" max="13579" width="9.5546875" style="221" customWidth="1"/>
    <col min="13580" max="13580" width="10.44140625" style="221" customWidth="1"/>
    <col min="13581" max="13824" width="9.109375" style="221"/>
    <col min="13825" max="13825" width="5.6640625" style="221" customWidth="1"/>
    <col min="13826" max="13826" width="15.5546875" style="221" customWidth="1"/>
    <col min="13827" max="13827" width="17.44140625" style="221" customWidth="1"/>
    <col min="13828" max="13828" width="14.44140625" style="221" customWidth="1"/>
    <col min="13829" max="13829" width="11.109375" style="221" customWidth="1"/>
    <col min="13830" max="13830" width="15.44140625" style="221" customWidth="1"/>
    <col min="13831" max="13831" width="8.33203125" style="221" customWidth="1"/>
    <col min="13832" max="13833" width="10.5546875" style="221" customWidth="1"/>
    <col min="13834" max="13834" width="6" style="221" customWidth="1"/>
    <col min="13835" max="13835" width="9.5546875" style="221" customWidth="1"/>
    <col min="13836" max="13836" width="10.44140625" style="221" customWidth="1"/>
    <col min="13837" max="14080" width="9.109375" style="221"/>
    <col min="14081" max="14081" width="5.6640625" style="221" customWidth="1"/>
    <col min="14082" max="14082" width="15.5546875" style="221" customWidth="1"/>
    <col min="14083" max="14083" width="17.44140625" style="221" customWidth="1"/>
    <col min="14084" max="14084" width="14.44140625" style="221" customWidth="1"/>
    <col min="14085" max="14085" width="11.109375" style="221" customWidth="1"/>
    <col min="14086" max="14086" width="15.44140625" style="221" customWidth="1"/>
    <col min="14087" max="14087" width="8.33203125" style="221" customWidth="1"/>
    <col min="14088" max="14089" width="10.5546875" style="221" customWidth="1"/>
    <col min="14090" max="14090" width="6" style="221" customWidth="1"/>
    <col min="14091" max="14091" width="9.5546875" style="221" customWidth="1"/>
    <col min="14092" max="14092" width="10.44140625" style="221" customWidth="1"/>
    <col min="14093" max="14336" width="9.109375" style="221"/>
    <col min="14337" max="14337" width="5.6640625" style="221" customWidth="1"/>
    <col min="14338" max="14338" width="15.5546875" style="221" customWidth="1"/>
    <col min="14339" max="14339" width="17.44140625" style="221" customWidth="1"/>
    <col min="14340" max="14340" width="14.44140625" style="221" customWidth="1"/>
    <col min="14341" max="14341" width="11.109375" style="221" customWidth="1"/>
    <col min="14342" max="14342" width="15.44140625" style="221" customWidth="1"/>
    <col min="14343" max="14343" width="8.33203125" style="221" customWidth="1"/>
    <col min="14344" max="14345" width="10.5546875" style="221" customWidth="1"/>
    <col min="14346" max="14346" width="6" style="221" customWidth="1"/>
    <col min="14347" max="14347" width="9.5546875" style="221" customWidth="1"/>
    <col min="14348" max="14348" width="10.44140625" style="221" customWidth="1"/>
    <col min="14349" max="14592" width="9.109375" style="221"/>
    <col min="14593" max="14593" width="5.6640625" style="221" customWidth="1"/>
    <col min="14594" max="14594" width="15.5546875" style="221" customWidth="1"/>
    <col min="14595" max="14595" width="17.44140625" style="221" customWidth="1"/>
    <col min="14596" max="14596" width="14.44140625" style="221" customWidth="1"/>
    <col min="14597" max="14597" width="11.109375" style="221" customWidth="1"/>
    <col min="14598" max="14598" width="15.44140625" style="221" customWidth="1"/>
    <col min="14599" max="14599" width="8.33203125" style="221" customWidth="1"/>
    <col min="14600" max="14601" width="10.5546875" style="221" customWidth="1"/>
    <col min="14602" max="14602" width="6" style="221" customWidth="1"/>
    <col min="14603" max="14603" width="9.5546875" style="221" customWidth="1"/>
    <col min="14604" max="14604" width="10.44140625" style="221" customWidth="1"/>
    <col min="14605" max="14848" width="9.109375" style="221"/>
    <col min="14849" max="14849" width="5.6640625" style="221" customWidth="1"/>
    <col min="14850" max="14850" width="15.5546875" style="221" customWidth="1"/>
    <col min="14851" max="14851" width="17.44140625" style="221" customWidth="1"/>
    <col min="14852" max="14852" width="14.44140625" style="221" customWidth="1"/>
    <col min="14853" max="14853" width="11.109375" style="221" customWidth="1"/>
    <col min="14854" max="14854" width="15.44140625" style="221" customWidth="1"/>
    <col min="14855" max="14855" width="8.33203125" style="221" customWidth="1"/>
    <col min="14856" max="14857" width="10.5546875" style="221" customWidth="1"/>
    <col min="14858" max="14858" width="6" style="221" customWidth="1"/>
    <col min="14859" max="14859" width="9.5546875" style="221" customWidth="1"/>
    <col min="14860" max="14860" width="10.44140625" style="221" customWidth="1"/>
    <col min="14861" max="15104" width="9.109375" style="221"/>
    <col min="15105" max="15105" width="5.6640625" style="221" customWidth="1"/>
    <col min="15106" max="15106" width="15.5546875" style="221" customWidth="1"/>
    <col min="15107" max="15107" width="17.44140625" style="221" customWidth="1"/>
    <col min="15108" max="15108" width="14.44140625" style="221" customWidth="1"/>
    <col min="15109" max="15109" width="11.109375" style="221" customWidth="1"/>
    <col min="15110" max="15110" width="15.44140625" style="221" customWidth="1"/>
    <col min="15111" max="15111" width="8.33203125" style="221" customWidth="1"/>
    <col min="15112" max="15113" width="10.5546875" style="221" customWidth="1"/>
    <col min="15114" max="15114" width="6" style="221" customWidth="1"/>
    <col min="15115" max="15115" width="9.5546875" style="221" customWidth="1"/>
    <col min="15116" max="15116" width="10.44140625" style="221" customWidth="1"/>
    <col min="15117" max="15360" width="9.109375" style="221"/>
    <col min="15361" max="15361" width="5.6640625" style="221" customWidth="1"/>
    <col min="15362" max="15362" width="15.5546875" style="221" customWidth="1"/>
    <col min="15363" max="15363" width="17.44140625" style="221" customWidth="1"/>
    <col min="15364" max="15364" width="14.44140625" style="221" customWidth="1"/>
    <col min="15365" max="15365" width="11.109375" style="221" customWidth="1"/>
    <col min="15366" max="15366" width="15.44140625" style="221" customWidth="1"/>
    <col min="15367" max="15367" width="8.33203125" style="221" customWidth="1"/>
    <col min="15368" max="15369" width="10.5546875" style="221" customWidth="1"/>
    <col min="15370" max="15370" width="6" style="221" customWidth="1"/>
    <col min="15371" max="15371" width="9.5546875" style="221" customWidth="1"/>
    <col min="15372" max="15372" width="10.44140625" style="221" customWidth="1"/>
    <col min="15373" max="15616" width="9.109375" style="221"/>
    <col min="15617" max="15617" width="5.6640625" style="221" customWidth="1"/>
    <col min="15618" max="15618" width="15.5546875" style="221" customWidth="1"/>
    <col min="15619" max="15619" width="17.44140625" style="221" customWidth="1"/>
    <col min="15620" max="15620" width="14.44140625" style="221" customWidth="1"/>
    <col min="15621" max="15621" width="11.109375" style="221" customWidth="1"/>
    <col min="15622" max="15622" width="15.44140625" style="221" customWidth="1"/>
    <col min="15623" max="15623" width="8.33203125" style="221" customWidth="1"/>
    <col min="15624" max="15625" width="10.5546875" style="221" customWidth="1"/>
    <col min="15626" max="15626" width="6" style="221" customWidth="1"/>
    <col min="15627" max="15627" width="9.5546875" style="221" customWidth="1"/>
    <col min="15628" max="15628" width="10.44140625" style="221" customWidth="1"/>
    <col min="15629" max="15872" width="9.109375" style="221"/>
    <col min="15873" max="15873" width="5.6640625" style="221" customWidth="1"/>
    <col min="15874" max="15874" width="15.5546875" style="221" customWidth="1"/>
    <col min="15875" max="15875" width="17.44140625" style="221" customWidth="1"/>
    <col min="15876" max="15876" width="14.44140625" style="221" customWidth="1"/>
    <col min="15877" max="15877" width="11.109375" style="221" customWidth="1"/>
    <col min="15878" max="15878" width="15.44140625" style="221" customWidth="1"/>
    <col min="15879" max="15879" width="8.33203125" style="221" customWidth="1"/>
    <col min="15880" max="15881" width="10.5546875" style="221" customWidth="1"/>
    <col min="15882" max="15882" width="6" style="221" customWidth="1"/>
    <col min="15883" max="15883" width="9.5546875" style="221" customWidth="1"/>
    <col min="15884" max="15884" width="10.44140625" style="221" customWidth="1"/>
    <col min="15885" max="16128" width="9.109375" style="221"/>
    <col min="16129" max="16129" width="5.6640625" style="221" customWidth="1"/>
    <col min="16130" max="16130" width="15.5546875" style="221" customWidth="1"/>
    <col min="16131" max="16131" width="17.44140625" style="221" customWidth="1"/>
    <col min="16132" max="16132" width="14.44140625" style="221" customWidth="1"/>
    <col min="16133" max="16133" width="11.109375" style="221" customWidth="1"/>
    <col min="16134" max="16134" width="15.44140625" style="221" customWidth="1"/>
    <col min="16135" max="16135" width="8.33203125" style="221" customWidth="1"/>
    <col min="16136" max="16137" width="10.5546875" style="221" customWidth="1"/>
    <col min="16138" max="16138" width="6" style="221" customWidth="1"/>
    <col min="16139" max="16139" width="9.5546875" style="221" customWidth="1"/>
    <col min="16140" max="16140" width="10.44140625" style="221" customWidth="1"/>
    <col min="16141" max="16384" width="9.109375" style="221"/>
  </cols>
  <sheetData>
    <row r="1" spans="1:15" ht="17.25" customHeight="1"/>
    <row r="2" spans="1:15" s="222" customFormat="1" ht="18">
      <c r="A2" s="406" t="s">
        <v>66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</row>
    <row r="3" spans="1:15" s="222" customFormat="1" ht="18">
      <c r="A3" s="406" t="s">
        <v>67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</row>
    <row r="4" spans="1:15">
      <c r="A4" s="223"/>
      <c r="B4" s="223"/>
      <c r="C4" s="223"/>
      <c r="D4" s="223"/>
      <c r="E4" s="223"/>
      <c r="F4" s="223"/>
      <c r="G4" s="223"/>
      <c r="H4" s="223"/>
      <c r="I4" s="223"/>
      <c r="J4" s="223"/>
      <c r="K4" s="223"/>
    </row>
    <row r="5" spans="1:15">
      <c r="A5" s="224" t="s">
        <v>68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</row>
    <row r="6" spans="1:15">
      <c r="A6" s="224" t="s">
        <v>110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</row>
    <row r="7" spans="1:15">
      <c r="A7" s="224"/>
      <c r="B7" s="225"/>
      <c r="C7" s="407" t="s">
        <v>41</v>
      </c>
      <c r="D7" s="407"/>
      <c r="E7" s="407"/>
      <c r="F7" s="407"/>
      <c r="G7" s="225"/>
      <c r="H7" s="225"/>
      <c r="I7" s="225"/>
      <c r="J7" s="225"/>
      <c r="K7" s="225"/>
    </row>
    <row r="8" spans="1:15">
      <c r="A8" s="224" t="s">
        <v>69</v>
      </c>
      <c r="B8" s="225"/>
      <c r="C8" s="225"/>
      <c r="D8" s="225"/>
      <c r="E8" s="225"/>
      <c r="F8" s="225"/>
      <c r="G8" s="225"/>
      <c r="H8" s="225"/>
      <c r="I8" s="225"/>
      <c r="J8" s="225"/>
      <c r="K8" s="225"/>
    </row>
    <row r="9" spans="1:15" s="225" customFormat="1" ht="52.2">
      <c r="A9" s="226" t="s">
        <v>70</v>
      </c>
      <c r="B9" s="226" t="s">
        <v>71</v>
      </c>
      <c r="C9" s="227" t="s">
        <v>72</v>
      </c>
      <c r="D9" s="227" t="s">
        <v>73</v>
      </c>
      <c r="E9" s="227" t="s">
        <v>74</v>
      </c>
      <c r="F9" s="227" t="s">
        <v>75</v>
      </c>
      <c r="G9" s="408" t="s">
        <v>76</v>
      </c>
      <c r="H9" s="409"/>
      <c r="I9" s="409"/>
      <c r="J9" s="409"/>
      <c r="K9" s="410"/>
      <c r="L9" s="227" t="s">
        <v>77</v>
      </c>
    </row>
    <row r="10" spans="1:15">
      <c r="A10" s="228">
        <v>1</v>
      </c>
      <c r="B10" s="229" t="s">
        <v>251</v>
      </c>
      <c r="C10" s="230" t="str">
        <f>PL!C94</f>
        <v>CAIU4156879</v>
      </c>
      <c r="D10" s="231" t="s">
        <v>90</v>
      </c>
      <c r="E10" s="232">
        <f>M10+N10</f>
        <v>24805</v>
      </c>
      <c r="F10" s="233">
        <f ca="1">TODAY()</f>
        <v>46253</v>
      </c>
      <c r="G10" s="412" t="s">
        <v>19</v>
      </c>
      <c r="H10" s="413"/>
      <c r="I10" s="413"/>
      <c r="J10" s="413"/>
      <c r="K10" s="414"/>
      <c r="L10" s="234"/>
      <c r="M10" s="235">
        <v>3500</v>
      </c>
      <c r="N10" s="235">
        <f>PL!H33</f>
        <v>21305</v>
      </c>
      <c r="O10" s="235"/>
    </row>
    <row r="11" spans="1:15">
      <c r="A11" s="228">
        <f>A10+1</f>
        <v>2</v>
      </c>
      <c r="B11" s="229" t="str">
        <f>B10</f>
        <v>EHPH26086690</v>
      </c>
      <c r="C11" s="230" t="str">
        <f>PL!C95</f>
        <v>FCXU0014623</v>
      </c>
      <c r="D11" s="231" t="s">
        <v>90</v>
      </c>
      <c r="E11" s="232">
        <f>M11+N11</f>
        <v>24960</v>
      </c>
      <c r="F11" s="233">
        <f ca="1">TODAY()</f>
        <v>46253</v>
      </c>
      <c r="G11" s="412" t="s">
        <v>92</v>
      </c>
      <c r="H11" s="413"/>
      <c r="I11" s="413"/>
      <c r="J11" s="413"/>
      <c r="K11" s="414"/>
      <c r="L11" s="236"/>
      <c r="M11" s="235">
        <v>3500</v>
      </c>
      <c r="N11" s="235">
        <f>PL!H43</f>
        <v>21460</v>
      </c>
      <c r="O11" s="235"/>
    </row>
    <row r="12" spans="1:15">
      <c r="A12" s="228">
        <f>A11+1</f>
        <v>3</v>
      </c>
      <c r="B12" s="229" t="str">
        <f>B11</f>
        <v>EHPH26086690</v>
      </c>
      <c r="C12" s="230" t="str">
        <f>PL!C96</f>
        <v>GVTU4038481</v>
      </c>
      <c r="D12" s="231" t="s">
        <v>90</v>
      </c>
      <c r="E12" s="232">
        <f>M12+N12</f>
        <v>25002</v>
      </c>
      <c r="F12" s="233">
        <f ca="1">TODAY()</f>
        <v>46253</v>
      </c>
      <c r="G12" s="412" t="s">
        <v>109</v>
      </c>
      <c r="H12" s="413"/>
      <c r="I12" s="413"/>
      <c r="J12" s="413"/>
      <c r="K12" s="414"/>
      <c r="L12" s="236"/>
      <c r="M12" s="235">
        <v>3520</v>
      </c>
      <c r="N12" s="235">
        <f>PL!H64</f>
        <v>21482</v>
      </c>
      <c r="O12" s="235"/>
    </row>
    <row r="13" spans="1:15">
      <c r="A13" s="228">
        <f>A12+1</f>
        <v>4</v>
      </c>
      <c r="B13" s="229" t="str">
        <f>B12</f>
        <v>EHPH26086690</v>
      </c>
      <c r="C13" s="230" t="str">
        <f>PL!C97</f>
        <v>TCNU4996836</v>
      </c>
      <c r="D13" s="231" t="s">
        <v>90</v>
      </c>
      <c r="E13" s="232">
        <f>M13+N13</f>
        <v>24607</v>
      </c>
      <c r="F13" s="233">
        <f ca="1">TODAY()</f>
        <v>46253</v>
      </c>
      <c r="G13" s="412" t="s">
        <v>109</v>
      </c>
      <c r="H13" s="413"/>
      <c r="I13" s="413"/>
      <c r="J13" s="413"/>
      <c r="K13" s="414"/>
      <c r="L13" s="236"/>
      <c r="M13" s="235">
        <v>3700</v>
      </c>
      <c r="N13" s="235">
        <f>PL!H87</f>
        <v>20907</v>
      </c>
      <c r="O13" s="235"/>
    </row>
    <row r="14" spans="1:15" s="239" customFormat="1">
      <c r="A14" s="237" t="s">
        <v>78</v>
      </c>
      <c r="B14" s="238"/>
      <c r="C14" s="238"/>
      <c r="D14" s="238"/>
      <c r="E14" s="238"/>
      <c r="F14" s="238"/>
      <c r="G14" s="238"/>
      <c r="H14" s="238"/>
      <c r="I14" s="238"/>
      <c r="J14" s="238"/>
      <c r="K14" s="238"/>
      <c r="N14" s="235">
        <f>SUM(N10:N13)</f>
        <v>85154</v>
      </c>
      <c r="O14" s="240"/>
    </row>
    <row r="15" spans="1:15" s="239" customFormat="1">
      <c r="A15" s="237" t="s">
        <v>79</v>
      </c>
      <c r="B15" s="238"/>
      <c r="C15" s="238"/>
      <c r="D15" s="238"/>
      <c r="E15" s="238"/>
      <c r="F15" s="238"/>
      <c r="G15" s="238"/>
      <c r="H15" s="238"/>
      <c r="I15" s="238"/>
      <c r="J15" s="238"/>
      <c r="K15" s="238"/>
    </row>
    <row r="16" spans="1:15" s="239" customFormat="1" ht="18.75" customHeight="1">
      <c r="A16" s="237"/>
      <c r="B16" s="238"/>
      <c r="C16" s="238"/>
      <c r="D16" s="238"/>
      <c r="E16" s="238"/>
      <c r="F16" s="238"/>
      <c r="G16" s="238"/>
      <c r="H16" s="238"/>
      <c r="I16" s="238"/>
      <c r="J16" s="238"/>
      <c r="K16" s="238"/>
    </row>
    <row r="17" spans="2:12" ht="16.5" customHeight="1">
      <c r="B17" s="221" t="s">
        <v>94</v>
      </c>
      <c r="F17" s="411" t="s">
        <v>95</v>
      </c>
      <c r="G17" s="411"/>
      <c r="H17" s="411"/>
      <c r="I17" s="411"/>
      <c r="J17" s="411"/>
      <c r="K17" s="411"/>
      <c r="L17" s="411"/>
    </row>
    <row r="18" spans="2:12" ht="16.5" customHeight="1">
      <c r="F18" s="411"/>
      <c r="G18" s="411"/>
      <c r="H18" s="411"/>
      <c r="I18" s="411"/>
      <c r="J18" s="411"/>
      <c r="K18" s="411"/>
      <c r="L18" s="411"/>
    </row>
    <row r="19" spans="2:12" ht="16.5" customHeight="1">
      <c r="F19" s="411"/>
      <c r="G19" s="411"/>
      <c r="H19" s="411"/>
      <c r="I19" s="411"/>
      <c r="J19" s="411"/>
      <c r="K19" s="411"/>
      <c r="L19" s="411"/>
    </row>
    <row r="20" spans="2:12" ht="16.5" customHeight="1">
      <c r="F20" s="411"/>
      <c r="G20" s="411"/>
      <c r="H20" s="411"/>
      <c r="I20" s="411"/>
      <c r="J20" s="411"/>
      <c r="K20" s="411"/>
      <c r="L20" s="411"/>
    </row>
    <row r="21" spans="2:12" ht="16.5" customHeight="1">
      <c r="F21" s="411"/>
      <c r="G21" s="411"/>
      <c r="H21" s="411"/>
      <c r="I21" s="411"/>
      <c r="J21" s="411"/>
      <c r="K21" s="411"/>
      <c r="L21" s="411"/>
    </row>
    <row r="22" spans="2:12">
      <c r="F22" s="405"/>
      <c r="G22" s="405"/>
      <c r="H22" s="405"/>
      <c r="I22" s="405"/>
      <c r="J22" s="405"/>
      <c r="K22" s="405"/>
      <c r="L22" s="405"/>
    </row>
    <row r="23" spans="2:12" ht="16.5" customHeight="1"/>
    <row r="24" spans="2:12" ht="16.5" customHeight="1"/>
    <row r="25" spans="2:12" ht="16.5" customHeight="1"/>
    <row r="26" spans="2:12" ht="16.5" customHeight="1"/>
    <row r="27" spans="2:12" ht="16.5" customHeight="1"/>
    <row r="28" spans="2:12" ht="16.5" customHeight="1"/>
    <row r="29" spans="2:12" ht="16.5" customHeight="1"/>
    <row r="30" spans="2:12" ht="16.5" customHeight="1"/>
    <row r="31" spans="2:12" ht="16.5" customHeight="1"/>
    <row r="32" spans="2:12" ht="16.5" customHeight="1"/>
  </sheetData>
  <mergeCells count="11">
    <mergeCell ref="F22:L22"/>
    <mergeCell ref="A2:L2"/>
    <mergeCell ref="A3:L3"/>
    <mergeCell ref="C7:F7"/>
    <mergeCell ref="G9:K9"/>
    <mergeCell ref="F17:L17"/>
    <mergeCell ref="F18:L21"/>
    <mergeCell ref="G10:K10"/>
    <mergeCell ref="G11:K11"/>
    <mergeCell ref="G12:K12"/>
    <mergeCell ref="G13:K13"/>
  </mergeCells>
  <pageMargins left="0.54" right="0.32" top="0.44" bottom="0.32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4642-C79F-463F-8DB2-9C33394BA36C}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PO</vt:lpstr>
      <vt:lpstr>CMV</vt:lpstr>
      <vt:lpstr>IV</vt:lpstr>
      <vt:lpstr>PL</vt:lpstr>
      <vt:lpstr>VGM</vt:lpstr>
      <vt:lpstr>Sheet2</vt:lpstr>
      <vt:lpstr>IV!Print_Area</vt:lpstr>
      <vt:lpstr>PL!Print_Area</vt:lpstr>
      <vt:lpstr>PO!Print_Area</vt:lpstr>
      <vt:lpstr>VGM!Print_Area</vt:lpstr>
      <vt:lpstr>IV!Print_Titles</vt:lpstr>
      <vt:lpstr>PL!Print_Titles</vt:lpstr>
      <vt:lpstr>PO!Print_Titles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hcc</dc:creator>
  <cp:lastModifiedBy>Kamonporn Panthong</cp:lastModifiedBy>
  <cp:lastPrinted>2026-08-19T08:24:53Z</cp:lastPrinted>
  <dcterms:created xsi:type="dcterms:W3CDTF">2007-01-18T03:57:43Z</dcterms:created>
  <dcterms:modified xsi:type="dcterms:W3CDTF">2026-08-19T09:19:05Z</dcterms:modified>
</cp:coreProperties>
</file>